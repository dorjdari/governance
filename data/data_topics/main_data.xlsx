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venuewatchinstitute-my.sharepoint.com/personal/dorjdari_resourcegovernance_org/Documents/All Work/Energy Transition/Scenarios/scenarios_quarto/"/>
    </mc:Choice>
  </mc:AlternateContent>
  <xr:revisionPtr revIDLastSave="75" documentId="13_ncr:1_{186724D2-CC60-4824-A07D-F19F30C476F0}" xr6:coauthVersionLast="47" xr6:coauthVersionMax="47" xr10:uidLastSave="{A6B68470-2A94-4D4E-9B2A-D6CE48CC0D44}"/>
  <bookViews>
    <workbookView xWindow="28680" yWindow="-60" windowWidth="29040" windowHeight="16440" xr2:uid="{E1F37A8C-1F72-4A73-A4D5-E7539F4794D1}"/>
  </bookViews>
  <sheets>
    <sheet name="gdp" sheetId="4" r:id="rId1"/>
    <sheet name="black_coal" sheetId="1" r:id="rId2"/>
    <sheet name="brown_coal" sheetId="2" r:id="rId3"/>
    <sheet name="combined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" i="4"/>
  <c r="L3" i="4"/>
  <c r="M3" i="4" s="1"/>
  <c r="L4" i="4"/>
  <c r="M4" i="4" s="1"/>
  <c r="L5" i="4"/>
  <c r="M5" i="4" s="1"/>
  <c r="L6" i="4"/>
  <c r="M6" i="4" s="1"/>
  <c r="L7" i="4"/>
  <c r="M7" i="4" s="1"/>
  <c r="L8" i="4"/>
  <c r="M8" i="4" s="1"/>
  <c r="L9" i="4"/>
  <c r="M9" i="4" s="1"/>
  <c r="L10" i="4"/>
  <c r="M10" i="4" s="1"/>
  <c r="L11" i="4"/>
  <c r="M11" i="4" s="1"/>
  <c r="L12" i="4"/>
  <c r="M12" i="4" s="1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33" i="4"/>
  <c r="M33" i="4" s="1"/>
  <c r="L34" i="4"/>
  <c r="M34" i="4" s="1"/>
  <c r="L35" i="4"/>
  <c r="M35" i="4" s="1"/>
  <c r="L2" i="4"/>
  <c r="M2" i="4" s="1"/>
  <c r="E35" i="4"/>
  <c r="G35" i="4" s="1"/>
  <c r="I2" i="4"/>
  <c r="J2" i="4" s="1"/>
  <c r="I3" i="4"/>
  <c r="J3" i="4" s="1"/>
  <c r="I4" i="4"/>
  <c r="J4" i="4" s="1"/>
  <c r="I5" i="4"/>
  <c r="J5" i="4" s="1"/>
  <c r="I6" i="4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17" i="4"/>
  <c r="J17" i="4" s="1"/>
  <c r="I18" i="4"/>
  <c r="J18" i="4" s="1"/>
  <c r="I19" i="4"/>
  <c r="J19" i="4" s="1"/>
  <c r="I20" i="4"/>
  <c r="J20" i="4" s="1"/>
  <c r="I21" i="4"/>
  <c r="J21" i="4" s="1"/>
  <c r="I22" i="4"/>
  <c r="J22" i="4" s="1"/>
  <c r="I23" i="4"/>
  <c r="J23" i="4" s="1"/>
  <c r="I24" i="4"/>
  <c r="J24" i="4" s="1"/>
  <c r="I25" i="4"/>
  <c r="J25" i="4" s="1"/>
  <c r="I26" i="4"/>
  <c r="J26" i="4" s="1"/>
  <c r="I27" i="4"/>
  <c r="J27" i="4" s="1"/>
  <c r="I28" i="4"/>
  <c r="J28" i="4" s="1"/>
  <c r="I29" i="4"/>
  <c r="J29" i="4" s="1"/>
  <c r="I30" i="4"/>
  <c r="J30" i="4" s="1"/>
  <c r="I31" i="4"/>
  <c r="J31" i="4" s="1"/>
  <c r="I32" i="4"/>
  <c r="J32" i="4" s="1"/>
  <c r="I33" i="4"/>
  <c r="J33" i="4" s="1"/>
  <c r="I34" i="4"/>
  <c r="J34" i="4" s="1"/>
  <c r="I35" i="4"/>
  <c r="J35" i="4" s="1"/>
  <c r="D35" i="4"/>
  <c r="N20" i="4" l="1"/>
  <c r="N34" i="4"/>
  <c r="N9" i="4"/>
  <c r="E34" i="4"/>
  <c r="N32" i="4"/>
  <c r="N16" i="4"/>
  <c r="N7" i="4"/>
  <c r="N6" i="4"/>
  <c r="N11" i="4"/>
  <c r="N25" i="4"/>
  <c r="N17" i="4"/>
  <c r="N29" i="4"/>
  <c r="N13" i="4"/>
  <c r="N28" i="4"/>
  <c r="N12" i="4"/>
  <c r="N4" i="4"/>
  <c r="N24" i="4"/>
  <c r="N8" i="4"/>
  <c r="N33" i="4"/>
  <c r="N5" i="4"/>
  <c r="N10" i="4"/>
  <c r="N30" i="4"/>
  <c r="N26" i="4"/>
  <c r="N18" i="4"/>
  <c r="N14" i="4"/>
  <c r="N3" i="4"/>
  <c r="E33" i="4" l="1"/>
  <c r="G34" i="4"/>
  <c r="N22" i="4"/>
  <c r="N35" i="4"/>
  <c r="N21" i="4"/>
  <c r="N19" i="4"/>
  <c r="N23" i="4"/>
  <c r="N31" i="4"/>
  <c r="N15" i="4"/>
  <c r="N27" i="4"/>
  <c r="E32" i="4" l="1"/>
  <c r="G33" i="4"/>
  <c r="E31" i="4" l="1"/>
  <c r="G32" i="4"/>
  <c r="E30" i="4" l="1"/>
  <c r="G31" i="4"/>
  <c r="E29" i="4" l="1"/>
  <c r="G30" i="4"/>
  <c r="E28" i="4" l="1"/>
  <c r="G29" i="4"/>
  <c r="E27" i="4" l="1"/>
  <c r="G28" i="4"/>
  <c r="E26" i="4" l="1"/>
  <c r="G27" i="4"/>
  <c r="E25" i="4" l="1"/>
  <c r="G26" i="4"/>
  <c r="E24" i="4" l="1"/>
  <c r="G25" i="4"/>
  <c r="E23" i="4" l="1"/>
  <c r="G24" i="4"/>
  <c r="E22" i="4" l="1"/>
  <c r="G23" i="4"/>
  <c r="E21" i="4" l="1"/>
  <c r="G22" i="4"/>
  <c r="E20" i="4" l="1"/>
  <c r="G21" i="4"/>
  <c r="E19" i="4" l="1"/>
  <c r="G20" i="4"/>
  <c r="E18" i="4" l="1"/>
  <c r="G19" i="4"/>
  <c r="E17" i="4" l="1"/>
  <c r="G18" i="4"/>
  <c r="E16" i="4" l="1"/>
  <c r="G17" i="4"/>
  <c r="E15" i="4" l="1"/>
  <c r="G16" i="4"/>
  <c r="E14" i="4" l="1"/>
  <c r="G15" i="4"/>
  <c r="E13" i="4" l="1"/>
  <c r="G14" i="4"/>
  <c r="E12" i="4" l="1"/>
  <c r="G13" i="4"/>
  <c r="E11" i="4" l="1"/>
  <c r="G12" i="4"/>
  <c r="E10" i="4" l="1"/>
  <c r="G11" i="4"/>
  <c r="E9" i="4" l="1"/>
  <c r="G10" i="4"/>
  <c r="E8" i="4" l="1"/>
  <c r="G9" i="4"/>
  <c r="E7" i="4" l="1"/>
  <c r="G8" i="4"/>
  <c r="E6" i="4" l="1"/>
  <c r="G7" i="4"/>
  <c r="E5" i="4" l="1"/>
  <c r="G6" i="4"/>
  <c r="E4" i="4" l="1"/>
  <c r="G5" i="4"/>
  <c r="E3" i="4" l="1"/>
  <c r="G4" i="4"/>
  <c r="E2" i="4" l="1"/>
  <c r="G2" i="4" s="1"/>
  <c r="G3" i="4"/>
</calcChain>
</file>

<file path=xl/sharedStrings.xml><?xml version="1.0" encoding="utf-8"?>
<sst xmlns="http://schemas.openxmlformats.org/spreadsheetml/2006/main" count="1215" uniqueCount="118">
  <si>
    <t>year</t>
  </si>
  <si>
    <t>gdp_current</t>
  </si>
  <si>
    <t>gdp_2015</t>
  </si>
  <si>
    <t>gdp_growth</t>
  </si>
  <si>
    <t>gdp_current_usd</t>
  </si>
  <si>
    <t>gdp_mining_current</t>
  </si>
  <si>
    <t>gdp_mining_2015</t>
  </si>
  <si>
    <t>mining_growth</t>
  </si>
  <si>
    <t>population</t>
  </si>
  <si>
    <t>mnt_usd</t>
  </si>
  <si>
    <t>Он</t>
  </si>
  <si>
    <t>Улс</t>
  </si>
  <si>
    <t>Барааны код</t>
  </si>
  <si>
    <t>Барааны нэр</t>
  </si>
  <si>
    <t>Нэгж</t>
  </si>
  <si>
    <t>Экспорт тоо хэмжээ</t>
  </si>
  <si>
    <t>Экспорт үнийн дүн</t>
  </si>
  <si>
    <t>Импорт тоо хэмжээ</t>
  </si>
  <si>
    <t>Импорт үнийн дүн</t>
  </si>
  <si>
    <t>Австрали</t>
  </si>
  <si>
    <t>Чулуун нүүрс</t>
  </si>
  <si>
    <t>кг</t>
  </si>
  <si>
    <t>Америкийн Hэгдсэн Улс</t>
  </si>
  <si>
    <t>Арабын Нэгдсэн Эмират Улс</t>
  </si>
  <si>
    <t>БНСУ</t>
  </si>
  <si>
    <t>БНХАУ</t>
  </si>
  <si>
    <t>ОХУ</t>
  </si>
  <si>
    <t>ХБHГУ</t>
  </si>
  <si>
    <t>Хонконг</t>
  </si>
  <si>
    <t>Энэтхэг</t>
  </si>
  <si>
    <t>Япон</t>
  </si>
  <si>
    <t>Канад</t>
  </si>
  <si>
    <t>Их британи</t>
  </si>
  <si>
    <t>Сингапур</t>
  </si>
  <si>
    <t>Колумби</t>
  </si>
  <si>
    <t>Испани</t>
  </si>
  <si>
    <t>Хүрэн нүүрс</t>
  </si>
  <si>
    <t>country_mn</t>
  </si>
  <si>
    <t>product_id</t>
  </si>
  <si>
    <t>product_name_mn</t>
  </si>
  <si>
    <t>unit_mn</t>
  </si>
  <si>
    <t>export_quantity</t>
  </si>
  <si>
    <t>export_value</t>
  </si>
  <si>
    <t>import_quantity</t>
  </si>
  <si>
    <t>import_value</t>
  </si>
  <si>
    <t>country_en</t>
  </si>
  <si>
    <t>country_short_en</t>
  </si>
  <si>
    <t>country_short_mn</t>
  </si>
  <si>
    <t>units_quantity_en</t>
  </si>
  <si>
    <t>units_value_en</t>
  </si>
  <si>
    <t>product_name_en</t>
  </si>
  <si>
    <t>Australia</t>
  </si>
  <si>
    <t>AUS</t>
  </si>
  <si>
    <t>АВС</t>
  </si>
  <si>
    <t>kg</t>
  </si>
  <si>
    <t>USD'000</t>
  </si>
  <si>
    <t>black coal</t>
  </si>
  <si>
    <t>USA</t>
  </si>
  <si>
    <t>АНУ</t>
  </si>
  <si>
    <t>UAE</t>
  </si>
  <si>
    <t>АНЭ</t>
  </si>
  <si>
    <t>South Korea</t>
  </si>
  <si>
    <t>KOR</t>
  </si>
  <si>
    <t>China</t>
  </si>
  <si>
    <t>CHN</t>
  </si>
  <si>
    <t>ХЯТ</t>
  </si>
  <si>
    <t>Russia</t>
  </si>
  <si>
    <t>RUS</t>
  </si>
  <si>
    <t>Germany</t>
  </si>
  <si>
    <t>GER</t>
  </si>
  <si>
    <t>ГЕР</t>
  </si>
  <si>
    <t>Hong Kong</t>
  </si>
  <si>
    <t>HKG</t>
  </si>
  <si>
    <t>ХКГ</t>
  </si>
  <si>
    <t>India</t>
  </si>
  <si>
    <t>IND</t>
  </si>
  <si>
    <t>ЭНЭ</t>
  </si>
  <si>
    <t>Japan</t>
  </si>
  <si>
    <t>JPN</t>
  </si>
  <si>
    <t>ЯПО</t>
  </si>
  <si>
    <t>brown coal</t>
  </si>
  <si>
    <t>Canada</t>
  </si>
  <si>
    <t>CAN</t>
  </si>
  <si>
    <t>КАН</t>
  </si>
  <si>
    <t>United Kingdom</t>
  </si>
  <si>
    <t>UK</t>
  </si>
  <si>
    <t>ИБР</t>
  </si>
  <si>
    <t>Singapore</t>
  </si>
  <si>
    <t>SGP</t>
  </si>
  <si>
    <t>СИН</t>
  </si>
  <si>
    <t>Colombia</t>
  </si>
  <si>
    <t>COL</t>
  </si>
  <si>
    <t>КОЛ</t>
  </si>
  <si>
    <t>Span</t>
  </si>
  <si>
    <t>ESP</t>
  </si>
  <si>
    <t>ИСП</t>
  </si>
  <si>
    <t>gdp_current_usd_calc</t>
  </si>
  <si>
    <t>mining_gdp_share</t>
  </si>
  <si>
    <t>SOU</t>
  </si>
  <si>
    <t>CHI</t>
  </si>
  <si>
    <t>SIN</t>
  </si>
  <si>
    <t>HON</t>
  </si>
  <si>
    <t>gdp_real_2023</t>
  </si>
  <si>
    <t>0.00</t>
  </si>
  <si>
    <t>1,743.20</t>
  </si>
  <si>
    <t>4.04</t>
  </si>
  <si>
    <t>66,705,554,290.00</t>
  </si>
  <si>
    <t>8,764,294.02</t>
  </si>
  <si>
    <t>11,404,150.00</t>
  </si>
  <si>
    <t>2,804.31</t>
  </si>
  <si>
    <t>Унгар</t>
  </si>
  <si>
    <t>1,400.00</t>
  </si>
  <si>
    <t>3.84</t>
  </si>
  <si>
    <t>Hungary</t>
  </si>
  <si>
    <t>HUN</t>
  </si>
  <si>
    <t>УНГ</t>
  </si>
  <si>
    <t>gdp_deflator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</si>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</sst>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##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6FF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/>
      <diagonal/>
    </border>
    <border>
      <left style="medium">
        <color rgb="FFDFEAFB"/>
      </left>
      <right style="medium">
        <color rgb="FFDFEAFB"/>
      </right>
      <top style="medium">
        <color rgb="FFDFEAFB"/>
      </top>
      <bottom style="medium">
        <color rgb="FFDFEAFB"/>
      </bottom>
      <diagonal/>
    </border>
    <border>
      <left/>
      <right style="medium">
        <color rgb="FFDFEAFB"/>
      </right>
      <top style="medium">
        <color rgb="FFDFEAFB"/>
      </top>
      <bottom style="medium">
        <color rgb="FFDFEAFB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4" fontId="0" fillId="0" borderId="0" xfId="0" applyNumberFormat="1"/>
    <xf numFmtId="0" fontId="1" fillId="0" borderId="1" xfId="0" applyFont="1" applyBorder="1" applyAlignment="1">
      <alignment horizontal="center" wrapText="1"/>
    </xf>
    <xf numFmtId="43" fontId="0" fillId="0" borderId="0" xfId="1" applyFont="1"/>
    <xf numFmtId="43" fontId="0" fillId="0" borderId="1" xfId="1" applyFont="1" applyBorder="1" applyAlignment="1">
      <alignment horizontal="right"/>
    </xf>
    <xf numFmtId="43" fontId="0" fillId="0" borderId="0" xfId="1" applyFont="1" applyBorder="1" applyAlignment="1">
      <alignment horizontal="right"/>
    </xf>
    <xf numFmtId="49" fontId="0" fillId="0" borderId="0" xfId="0" applyNumberFormat="1"/>
    <xf numFmtId="2" fontId="0" fillId="0" borderId="0" xfId="0" applyNumberFormat="1"/>
    <xf numFmtId="0" fontId="4" fillId="0" borderId="1" xfId="0" applyFont="1" applyBorder="1" applyAlignment="1">
      <alignment horizontal="left"/>
    </xf>
    <xf numFmtId="164" fontId="4" fillId="0" borderId="0" xfId="0" applyNumberFormat="1" applyFont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0" xfId="0" applyFont="1"/>
    <xf numFmtId="4" fontId="4" fillId="0" borderId="0" xfId="0" applyNumberFormat="1" applyFont="1"/>
    <xf numFmtId="0" fontId="5" fillId="0" borderId="1" xfId="0" applyFont="1" applyBorder="1" applyAlignment="1">
      <alignment horizontal="center" wrapText="1"/>
    </xf>
    <xf numFmtId="164" fontId="0" fillId="0" borderId="1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43" fontId="0" fillId="0" borderId="0" xfId="0" applyNumberFormat="1"/>
    <xf numFmtId="164" fontId="0" fillId="0" borderId="2" xfId="0" applyNumberFormat="1" applyBorder="1" applyAlignment="1">
      <alignment horizontal="right"/>
    </xf>
    <xf numFmtId="4" fontId="6" fillId="0" borderId="0" xfId="0" applyNumberFormat="1" applyFont="1"/>
    <xf numFmtId="0" fontId="7" fillId="0" borderId="0" xfId="2"/>
    <xf numFmtId="43" fontId="7" fillId="0" borderId="0" xfId="1" applyFont="1"/>
    <xf numFmtId="43" fontId="8" fillId="2" borderId="4" xfId="1" applyFont="1" applyFill="1" applyBorder="1" applyAlignment="1">
      <alignment horizontal="right" vertical="center" wrapText="1"/>
    </xf>
    <xf numFmtId="43" fontId="8" fillId="2" borderId="5" xfId="1" applyFont="1" applyFill="1" applyBorder="1" applyAlignment="1">
      <alignment horizontal="right" vertical="center" wrapText="1"/>
    </xf>
    <xf numFmtId="4" fontId="8" fillId="3" borderId="4" xfId="0" applyNumberFormat="1" applyFont="1" applyFill="1" applyBorder="1" applyAlignment="1">
      <alignment horizontal="right" vertical="center" wrapText="1"/>
    </xf>
    <xf numFmtId="4" fontId="8" fillId="3" borderId="5" xfId="0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horizontal="right" vertical="center" wrapText="1"/>
    </xf>
    <xf numFmtId="43" fontId="0" fillId="0" borderId="0" xfId="1" applyFont="1" applyAlignment="1">
      <alignment horizontal="right"/>
    </xf>
    <xf numFmtId="165" fontId="0" fillId="0" borderId="0" xfId="1" applyNumberFormat="1" applyFont="1"/>
    <xf numFmtId="165" fontId="6" fillId="0" borderId="0" xfId="1" applyNumberFormat="1" applyFont="1"/>
    <xf numFmtId="0" fontId="4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125D936D-788F-4D3D-BEDF-96C2AC81E465}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D81B9-1C0C-4BCB-855F-8F23B6A13D7B}" name="Table1" displayName="Table1" ref="A1:O98" totalsRowShown="0">
  <autoFilter ref="A1:O98" xr:uid="{006D81B9-1C0C-4BCB-855F-8F23B6A13D7B}"/>
  <sortState xmlns:xlrd2="http://schemas.microsoft.com/office/spreadsheetml/2017/richdata2" ref="A2:I85">
    <sortCondition ref="A1:A85"/>
  </sortState>
  <tableColumns count="15">
    <tableColumn id="1" xr3:uid="{4D704B38-AD30-4477-9270-94A1C1CF855C}" name="year"/>
    <tableColumn id="2" xr3:uid="{CC6CFFD4-B06B-4F28-8933-0AA32BA9E0C1}" name="country_mn"/>
    <tableColumn id="3" xr3:uid="{261917C0-8459-45F7-B71D-06864076C2B7}" name="product_id" dataDxfId="10"/>
    <tableColumn id="4" xr3:uid="{6864C1D9-E850-453E-A647-C15EB0023A60}" name="product_name_mn"/>
    <tableColumn id="5" xr3:uid="{74887C31-323C-4F28-A1C1-492243A6079E}" name="unit_mn"/>
    <tableColumn id="6" xr3:uid="{B72CE2D0-820F-4C37-B1A0-A34BF63BFB0D}" name="export_quantity" dataDxfId="9" dataCellStyle="Normal"/>
    <tableColumn id="7" xr3:uid="{74B470E0-99E7-4958-B66D-DBF9D297606C}" name="export_value" dataDxfId="8" dataCellStyle="Normal"/>
    <tableColumn id="8" xr3:uid="{4F479AAF-817B-4CB4-9044-DB4D335C00C5}" name="import_quantity" dataDxfId="7" dataCellStyle="Normal"/>
    <tableColumn id="9" xr3:uid="{B2B8C563-499D-402D-831F-2CE7635E2AE3}" name="import_value" dataDxfId="6" dataCellStyle="Normal"/>
    <tableColumn id="10" xr3:uid="{BD41CC14-C429-4632-BD87-EB74934EE527}" name="country_en" dataDxfId="5"/>
    <tableColumn id="11" xr3:uid="{1C66A40A-24CA-4ED4-BA5E-5514AF447F30}" name="country_short_en" dataDxfId="4"/>
    <tableColumn id="12" xr3:uid="{E7D0F466-74A2-4F65-87D3-593E36C78EDD}" name="country_short_mn" dataDxfId="3"/>
    <tableColumn id="13" xr3:uid="{999129C2-F990-4F99-8A75-B9E5413B95F6}" name="units_quantity_en" dataDxfId="2"/>
    <tableColumn id="14" xr3:uid="{F2D8326A-EDD3-46E3-ADB4-B3CB0772D40C}" name="units_value_en" dataDxfId="1"/>
    <tableColumn id="15" xr3:uid="{C233722E-3A8C-48A0-A867-4DA4FC16565B}" name="product_name_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AB0BE-5437-4C1A-9F02-A38DD87AE6B8}">
  <dimension ref="A1:O58"/>
  <sheetViews>
    <sheetView tabSelected="1" workbookViewId="0">
      <selection activeCell="H3" sqref="H3:H35"/>
    </sheetView>
  </sheetViews>
  <sheetFormatPr defaultRowHeight="15" x14ac:dyDescent="0.25"/>
  <cols>
    <col min="1" max="1" width="9.140625" style="11"/>
    <col min="2" max="2" width="15.5703125" style="11" customWidth="1"/>
    <col min="3" max="3" width="14.28515625" style="11" bestFit="1" customWidth="1"/>
    <col min="4" max="6" width="13.85546875" style="11" customWidth="1"/>
    <col min="7" max="8" width="19.5703125" style="11" customWidth="1"/>
    <col min="9" max="9" width="22.42578125" style="11" customWidth="1"/>
    <col min="10" max="10" width="22.7109375" style="11" customWidth="1"/>
    <col min="11" max="11" width="21.5703125" style="11" customWidth="1"/>
    <col min="12" max="13" width="19.140625" style="11" customWidth="1"/>
    <col min="14" max="14" width="14.5703125" style="11" bestFit="1" customWidth="1"/>
    <col min="15" max="15" width="14.28515625" style="11" customWidth="1"/>
    <col min="16" max="16384" width="9.140625" style="11"/>
  </cols>
  <sheetData>
    <row r="1" spans="1:15" x14ac:dyDescent="0.25">
      <c r="A1" s="2" t="s">
        <v>0</v>
      </c>
      <c r="B1" s="8" t="s">
        <v>1</v>
      </c>
      <c r="C1" s="8" t="s">
        <v>2</v>
      </c>
      <c r="D1" s="8" t="s">
        <v>3</v>
      </c>
      <c r="E1" s="8" t="s">
        <v>102</v>
      </c>
      <c r="F1" s="8" t="s">
        <v>9</v>
      </c>
      <c r="G1" s="29" t="s">
        <v>116</v>
      </c>
      <c r="H1" s="29" t="s">
        <v>117</v>
      </c>
      <c r="I1" s="9" t="s">
        <v>96</v>
      </c>
      <c r="J1" s="9" t="s">
        <v>4</v>
      </c>
      <c r="K1" s="8" t="s">
        <v>5</v>
      </c>
      <c r="L1" s="8" t="s">
        <v>97</v>
      </c>
      <c r="M1" s="8" t="s">
        <v>6</v>
      </c>
      <c r="N1" s="8" t="s">
        <v>7</v>
      </c>
      <c r="O1" s="10" t="s">
        <v>8</v>
      </c>
    </row>
    <row r="2" spans="1:15" x14ac:dyDescent="0.25">
      <c r="A2" s="13">
        <v>1990</v>
      </c>
      <c r="B2" s="14">
        <v>12803.928309999999</v>
      </c>
      <c r="C2" s="14">
        <v>7555095.664268801</v>
      </c>
      <c r="D2" s="14"/>
      <c r="E2" s="3">
        <f t="shared" ref="E2:E34" si="0">E3/(1+D3/100)</f>
        <v>17488582.610568121</v>
      </c>
      <c r="F2" s="15">
        <v>3.86</v>
      </c>
      <c r="G2" s="26">
        <f>(B2/E2)*100</f>
        <v>7.3213070464971552E-2</v>
      </c>
      <c r="H2" s="26"/>
      <c r="I2" s="15">
        <f t="shared" ref="I2:I35" si="1">B2/F2</f>
        <v>3317.0798730569945</v>
      </c>
      <c r="J2" s="26">
        <f t="shared" ref="J2:J34" si="2">I2*1000</f>
        <v>3317079.8730569948</v>
      </c>
      <c r="K2" s="4">
        <v>1599.3</v>
      </c>
      <c r="L2" s="4">
        <f t="shared" ref="L2:L35" si="3">K2/B2</f>
        <v>0.12490697864583718</v>
      </c>
      <c r="M2" s="5">
        <f t="shared" ref="M2:M35" si="4">L2*C2</f>
        <v>943684.17280408018</v>
      </c>
      <c r="N2" s="3"/>
      <c r="O2" s="27">
        <v>2153466</v>
      </c>
    </row>
    <row r="3" spans="1:15" x14ac:dyDescent="0.25">
      <c r="A3" s="13">
        <v>1991</v>
      </c>
      <c r="B3" s="14">
        <v>22600.674070000001</v>
      </c>
      <c r="C3" s="14">
        <v>6897802.3414774155</v>
      </c>
      <c r="D3" s="14">
        <v>-8.6999999999999993</v>
      </c>
      <c r="E3" s="3">
        <f t="shared" si="0"/>
        <v>15967075.923448695</v>
      </c>
      <c r="F3">
        <v>28.67</v>
      </c>
      <c r="G3" s="26">
        <f t="shared" ref="G3:G35" si="5">(B3/E3)*100</f>
        <v>0.14154547882376781</v>
      </c>
      <c r="H3" s="26">
        <f>G3/G2-1</f>
        <v>0.93333619154095682</v>
      </c>
      <c r="I3" s="15">
        <f t="shared" si="1"/>
        <v>788.30394384373903</v>
      </c>
      <c r="J3" s="26">
        <f t="shared" si="2"/>
        <v>788303.94384373899</v>
      </c>
      <c r="K3" s="4">
        <v>2359.8000000000002</v>
      </c>
      <c r="L3" s="4">
        <f t="shared" si="3"/>
        <v>0.10441281497583227</v>
      </c>
      <c r="M3" s="5">
        <f t="shared" si="4"/>
        <v>720218.95962054399</v>
      </c>
      <c r="N3" s="3">
        <f t="shared" ref="N3:N33" si="6">M3/M2-1</f>
        <v>-0.23680084886824759</v>
      </c>
      <c r="O3" s="27">
        <v>2177217</v>
      </c>
    </row>
    <row r="4" spans="1:15" x14ac:dyDescent="0.25">
      <c r="A4" s="13">
        <v>1992</v>
      </c>
      <c r="B4" s="14">
        <v>56130.265350000001</v>
      </c>
      <c r="C4" s="14">
        <v>6256306.723720016</v>
      </c>
      <c r="D4" s="14">
        <v>-9.3000000000000007</v>
      </c>
      <c r="E4" s="3">
        <f t="shared" si="0"/>
        <v>14482137.862567967</v>
      </c>
      <c r="F4">
        <v>40</v>
      </c>
      <c r="G4" s="26">
        <f t="shared" si="5"/>
        <v>0.38758273041358138</v>
      </c>
      <c r="H4" s="26">
        <f t="shared" ref="H4:H35" si="7">G4/G3-1</f>
        <v>1.738220490222397</v>
      </c>
      <c r="I4" s="15">
        <f t="shared" si="1"/>
        <v>1403.25663375</v>
      </c>
      <c r="J4" s="26">
        <f t="shared" si="2"/>
        <v>1403256.63375</v>
      </c>
      <c r="K4" s="4">
        <v>6411.2</v>
      </c>
      <c r="L4" s="4">
        <f t="shared" si="3"/>
        <v>0.11422001944981006</v>
      </c>
      <c r="M4" s="5">
        <f t="shared" si="4"/>
        <v>714595.4756672777</v>
      </c>
      <c r="N4" s="3">
        <f t="shared" si="6"/>
        <v>-7.8080198780507981E-3</v>
      </c>
      <c r="O4" s="27">
        <v>2158362</v>
      </c>
    </row>
    <row r="5" spans="1:15" x14ac:dyDescent="0.25">
      <c r="A5" s="13">
        <v>1993</v>
      </c>
      <c r="B5" s="14">
        <v>227677.40419999999</v>
      </c>
      <c r="C5" s="14">
        <v>6056104.9085609755</v>
      </c>
      <c r="D5" s="14">
        <v>-3.2</v>
      </c>
      <c r="E5" s="3">
        <f t="shared" si="0"/>
        <v>14018709.450965792</v>
      </c>
      <c r="F5">
        <v>305.06</v>
      </c>
      <c r="G5" s="26">
        <f t="shared" si="5"/>
        <v>1.6240967472531116</v>
      </c>
      <c r="H5" s="26">
        <f t="shared" si="7"/>
        <v>3.1903227873957958</v>
      </c>
      <c r="I5" s="15">
        <f t="shared" si="1"/>
        <v>746.33647216940926</v>
      </c>
      <c r="J5" s="26">
        <f t="shared" si="2"/>
        <v>746336.47216940927</v>
      </c>
      <c r="K5" s="4">
        <v>22747.9</v>
      </c>
      <c r="L5" s="4">
        <f t="shared" si="3"/>
        <v>9.9912857316387146E-2</v>
      </c>
      <c r="M5" s="5">
        <f t="shared" si="4"/>
        <v>605082.74562212452</v>
      </c>
      <c r="N5" s="3">
        <f t="shared" si="6"/>
        <v>-0.15325136216807411</v>
      </c>
      <c r="O5" s="27">
        <v>2171898</v>
      </c>
    </row>
    <row r="6" spans="1:15" x14ac:dyDescent="0.25">
      <c r="A6" s="13">
        <v>1994</v>
      </c>
      <c r="B6" s="14">
        <v>382103.2303</v>
      </c>
      <c r="C6" s="14">
        <v>6183283.1116407551</v>
      </c>
      <c r="D6" s="14">
        <v>2.1</v>
      </c>
      <c r="E6" s="3">
        <f t="shared" si="0"/>
        <v>14313102.349436073</v>
      </c>
      <c r="F6">
        <v>409.25</v>
      </c>
      <c r="G6" s="26">
        <f t="shared" si="5"/>
        <v>2.6696045411500511</v>
      </c>
      <c r="H6" s="26">
        <f t="shared" si="7"/>
        <v>0.64374723714288651</v>
      </c>
      <c r="I6" s="15">
        <f t="shared" si="1"/>
        <v>933.66702577886372</v>
      </c>
      <c r="J6" s="26">
        <f t="shared" si="2"/>
        <v>933667.0257788637</v>
      </c>
      <c r="K6" s="4">
        <v>39348.400000000001</v>
      </c>
      <c r="L6" s="4">
        <f t="shared" si="3"/>
        <v>0.10297845419706729</v>
      </c>
      <c r="M6" s="5">
        <f t="shared" si="4"/>
        <v>636744.93669959716</v>
      </c>
      <c r="N6" s="3">
        <f t="shared" si="6"/>
        <v>5.2327043378040283E-2</v>
      </c>
      <c r="O6" s="27">
        <v>2206892</v>
      </c>
    </row>
    <row r="7" spans="1:15" x14ac:dyDescent="0.25">
      <c r="A7" s="13">
        <v>1995</v>
      </c>
      <c r="B7" s="14">
        <v>651455.74300000002</v>
      </c>
      <c r="C7" s="14">
        <v>6579013.2307857638</v>
      </c>
      <c r="D7" s="14">
        <v>6.4</v>
      </c>
      <c r="E7" s="3">
        <f t="shared" si="0"/>
        <v>15229140.899799982</v>
      </c>
      <c r="F7" s="16">
        <v>447.63</v>
      </c>
      <c r="G7" s="26">
        <f t="shared" si="5"/>
        <v>4.2776920069638082</v>
      </c>
      <c r="H7" s="26">
        <f t="shared" si="7"/>
        <v>0.60236916780228489</v>
      </c>
      <c r="I7" s="15">
        <f t="shared" si="1"/>
        <v>1455.344241896209</v>
      </c>
      <c r="J7" s="26">
        <f t="shared" si="2"/>
        <v>1455344.2418962091</v>
      </c>
      <c r="K7" s="4">
        <v>73841.5</v>
      </c>
      <c r="L7" s="4">
        <f t="shared" si="3"/>
        <v>0.11334845197611527</v>
      </c>
      <c r="M7" s="5">
        <f t="shared" si="4"/>
        <v>745720.9652399472</v>
      </c>
      <c r="N7" s="3">
        <f t="shared" si="6"/>
        <v>0.17114549682200719</v>
      </c>
      <c r="O7" s="27">
        <v>2242998</v>
      </c>
    </row>
    <row r="8" spans="1:15" x14ac:dyDescent="0.25">
      <c r="A8" s="13">
        <v>1996</v>
      </c>
      <c r="B8" s="14">
        <v>737996.59580000001</v>
      </c>
      <c r="C8" s="14">
        <v>6723751.5218630508</v>
      </c>
      <c r="D8" s="14">
        <v>2.2000000000000002</v>
      </c>
      <c r="E8" s="3">
        <f t="shared" si="0"/>
        <v>15564181.999595582</v>
      </c>
      <c r="F8">
        <v>548.77</v>
      </c>
      <c r="G8" s="26">
        <f t="shared" si="5"/>
        <v>4.7416343230834492</v>
      </c>
      <c r="H8" s="26">
        <f t="shared" si="7"/>
        <v>0.10845622250605524</v>
      </c>
      <c r="I8" s="15">
        <f t="shared" si="1"/>
        <v>1344.8194977859578</v>
      </c>
      <c r="J8" s="26">
        <f t="shared" si="2"/>
        <v>1344819.4977859578</v>
      </c>
      <c r="K8" s="4">
        <v>76197.8</v>
      </c>
      <c r="L8" s="4">
        <f t="shared" si="3"/>
        <v>0.10324952775344495</v>
      </c>
      <c r="M8" s="5">
        <f t="shared" si="4"/>
        <v>694224.16936386679</v>
      </c>
      <c r="N8" s="3">
        <f t="shared" si="6"/>
        <v>-6.9056387410954101E-2</v>
      </c>
      <c r="O8" s="27">
        <v>2276016</v>
      </c>
    </row>
    <row r="9" spans="1:15" x14ac:dyDescent="0.25">
      <c r="A9" s="13">
        <v>1997</v>
      </c>
      <c r="B9" s="14">
        <v>932926.21089999995</v>
      </c>
      <c r="C9" s="14">
        <v>6985977.8312157094</v>
      </c>
      <c r="D9" s="14">
        <v>3.9</v>
      </c>
      <c r="E9" s="3">
        <f t="shared" si="0"/>
        <v>16171185.097579809</v>
      </c>
      <c r="F9">
        <v>789.73</v>
      </c>
      <c r="G9" s="26">
        <f t="shared" si="5"/>
        <v>5.7690651938652433</v>
      </c>
      <c r="H9" s="26">
        <f t="shared" si="7"/>
        <v>0.21668285674835919</v>
      </c>
      <c r="I9" s="15">
        <f t="shared" si="1"/>
        <v>1181.3229976067769</v>
      </c>
      <c r="J9" s="26">
        <f t="shared" si="2"/>
        <v>1181322.9976067769</v>
      </c>
      <c r="K9" s="4">
        <v>132390.29999999999</v>
      </c>
      <c r="L9" s="4">
        <f t="shared" si="3"/>
        <v>0.14190865092350896</v>
      </c>
      <c r="M9" s="5">
        <f t="shared" si="4"/>
        <v>991370.68940936227</v>
      </c>
      <c r="N9" s="3">
        <f t="shared" si="6"/>
        <v>0.42802675729048367</v>
      </c>
      <c r="O9" s="27">
        <v>2307484</v>
      </c>
    </row>
    <row r="10" spans="1:15" x14ac:dyDescent="0.25">
      <c r="A10" s="13">
        <v>1998</v>
      </c>
      <c r="B10" s="14">
        <v>945461.18299999996</v>
      </c>
      <c r="C10" s="14">
        <v>7216515.099645827</v>
      </c>
      <c r="D10" s="14">
        <v>3.3</v>
      </c>
      <c r="E10" s="3">
        <f t="shared" si="0"/>
        <v>16704834.205799941</v>
      </c>
      <c r="F10">
        <v>840.1</v>
      </c>
      <c r="G10" s="26">
        <f t="shared" si="5"/>
        <v>5.6598058463324028</v>
      </c>
      <c r="H10" s="26">
        <f t="shared" si="7"/>
        <v>-1.89388304450131E-2</v>
      </c>
      <c r="I10" s="15">
        <f t="shared" si="1"/>
        <v>1125.4150493988809</v>
      </c>
      <c r="J10" s="26">
        <f t="shared" si="2"/>
        <v>1125415.0493988809</v>
      </c>
      <c r="K10" s="4">
        <v>81274.100000000006</v>
      </c>
      <c r="L10" s="4">
        <f t="shared" si="3"/>
        <v>8.5962386887331377E-2</v>
      </c>
      <c r="M10" s="5">
        <f t="shared" si="4"/>
        <v>620348.86297402333</v>
      </c>
      <c r="N10" s="3">
        <f t="shared" si="6"/>
        <v>-0.374251357639377</v>
      </c>
      <c r="O10" s="27">
        <v>2340134</v>
      </c>
    </row>
    <row r="11" spans="1:15" x14ac:dyDescent="0.25">
      <c r="A11" s="13">
        <v>1999</v>
      </c>
      <c r="B11" s="14">
        <v>1080532</v>
      </c>
      <c r="C11" s="14">
        <v>7440227.0677348468</v>
      </c>
      <c r="D11" s="14">
        <v>3.1</v>
      </c>
      <c r="E11" s="3">
        <f t="shared" si="0"/>
        <v>17222684.066179737</v>
      </c>
      <c r="F11" s="1">
        <v>1021.81</v>
      </c>
      <c r="G11" s="26">
        <f t="shared" si="5"/>
        <v>6.2738885289189366</v>
      </c>
      <c r="H11" s="26">
        <f t="shared" si="7"/>
        <v>0.10849889541431246</v>
      </c>
      <c r="I11" s="15">
        <f t="shared" si="1"/>
        <v>1057.4686096240985</v>
      </c>
      <c r="J11" s="26">
        <f t="shared" si="2"/>
        <v>1057468.6096240985</v>
      </c>
      <c r="K11" s="4">
        <v>94909.3</v>
      </c>
      <c r="L11" s="4">
        <f t="shared" si="3"/>
        <v>8.7835714259272293E-2</v>
      </c>
      <c r="M11" s="5">
        <f t="shared" si="4"/>
        <v>653517.65874566138</v>
      </c>
      <c r="N11" s="3">
        <f t="shared" si="6"/>
        <v>5.3467972219088278E-2</v>
      </c>
      <c r="O11" s="27">
        <v>2373493</v>
      </c>
    </row>
    <row r="12" spans="1:15" x14ac:dyDescent="0.25">
      <c r="A12" s="13">
        <v>2000</v>
      </c>
      <c r="B12" s="14">
        <v>1224062.0630000001</v>
      </c>
      <c r="C12" s="14">
        <v>7522069.5654799296</v>
      </c>
      <c r="D12" s="14">
        <v>1.1000000000000001</v>
      </c>
      <c r="E12" s="3">
        <f t="shared" si="0"/>
        <v>17412133.590907712</v>
      </c>
      <c r="F12" s="1">
        <v>1076.47</v>
      </c>
      <c r="G12" s="26">
        <f t="shared" si="5"/>
        <v>7.0299372366358499</v>
      </c>
      <c r="H12" s="26">
        <f t="shared" si="7"/>
        <v>0.12050719489706796</v>
      </c>
      <c r="I12" s="15">
        <f t="shared" si="1"/>
        <v>1137.1074558510688</v>
      </c>
      <c r="J12" s="26">
        <f t="shared" si="2"/>
        <v>1137107.4558510687</v>
      </c>
      <c r="K12" s="4">
        <v>132400.1</v>
      </c>
      <c r="L12" s="4">
        <f t="shared" si="3"/>
        <v>0.10816453185021224</v>
      </c>
      <c r="M12" s="5">
        <f t="shared" si="4"/>
        <v>813621.13309486595</v>
      </c>
      <c r="N12" s="3">
        <f t="shared" si="6"/>
        <v>0.24498721986564442</v>
      </c>
      <c r="O12" s="27">
        <v>2403105</v>
      </c>
    </row>
    <row r="13" spans="1:15" x14ac:dyDescent="0.25">
      <c r="A13" s="13">
        <v>2001</v>
      </c>
      <c r="B13" s="14">
        <v>1391878.1629999999</v>
      </c>
      <c r="C13" s="14">
        <v>7747731.6524443273</v>
      </c>
      <c r="D13" s="14">
        <v>3</v>
      </c>
      <c r="E13" s="3">
        <f t="shared" si="0"/>
        <v>17934497.598634943</v>
      </c>
      <c r="F13" s="1">
        <v>1097.75</v>
      </c>
      <c r="G13" s="26">
        <f t="shared" si="5"/>
        <v>7.7608985439655731</v>
      </c>
      <c r="H13" s="26">
        <f t="shared" si="7"/>
        <v>0.10397835467440419</v>
      </c>
      <c r="I13" s="15">
        <f t="shared" si="1"/>
        <v>1267.9372926440446</v>
      </c>
      <c r="J13" s="26">
        <f t="shared" si="2"/>
        <v>1267937.2926440446</v>
      </c>
      <c r="K13" s="4">
        <v>117076.1</v>
      </c>
      <c r="L13" s="4">
        <f t="shared" si="3"/>
        <v>8.4113755867581644E-2</v>
      </c>
      <c r="M13" s="5">
        <f t="shared" si="4"/>
        <v>651690.80874123704</v>
      </c>
      <c r="N13" s="3">
        <f t="shared" si="6"/>
        <v>-0.19902423593359186</v>
      </c>
      <c r="O13" s="27">
        <v>2432397</v>
      </c>
    </row>
    <row r="14" spans="1:15" x14ac:dyDescent="0.25">
      <c r="A14" s="13">
        <v>2002</v>
      </c>
      <c r="B14" s="14">
        <v>1550609.9210000001</v>
      </c>
      <c r="C14" s="14">
        <v>8111875.0401092097</v>
      </c>
      <c r="D14" s="14">
        <v>4.7</v>
      </c>
      <c r="E14" s="3">
        <f t="shared" si="0"/>
        <v>18777418.985770784</v>
      </c>
      <c r="F14" s="1">
        <v>1110.32</v>
      </c>
      <c r="G14" s="26">
        <f t="shared" si="5"/>
        <v>8.2578437546450161</v>
      </c>
      <c r="H14" s="26">
        <f t="shared" si="7"/>
        <v>6.4031916905528785E-2</v>
      </c>
      <c r="I14" s="15">
        <f t="shared" si="1"/>
        <v>1396.5432677066074</v>
      </c>
      <c r="J14" s="26">
        <f t="shared" si="2"/>
        <v>1396543.2677066075</v>
      </c>
      <c r="K14" s="4">
        <v>144753.70000000001</v>
      </c>
      <c r="L14" s="4">
        <f t="shared" si="3"/>
        <v>9.3352749804829868E-2</v>
      </c>
      <c r="M14" s="5">
        <f t="shared" si="4"/>
        <v>757265.84106735932</v>
      </c>
      <c r="N14" s="3">
        <f t="shared" si="6"/>
        <v>0.16200172061662799</v>
      </c>
      <c r="O14" s="27">
        <v>2465657</v>
      </c>
    </row>
    <row r="15" spans="1:15" x14ac:dyDescent="0.25">
      <c r="A15" s="13">
        <v>2003</v>
      </c>
      <c r="B15" s="14">
        <v>1829072.23</v>
      </c>
      <c r="C15" s="14">
        <v>8679706.2929168548</v>
      </c>
      <c r="D15" s="14">
        <v>7</v>
      </c>
      <c r="E15" s="3">
        <f t="shared" si="0"/>
        <v>20091838.31477474</v>
      </c>
      <c r="F15" s="1">
        <v>1146.53</v>
      </c>
      <c r="G15" s="26">
        <f t="shared" si="5"/>
        <v>9.1035583770100956</v>
      </c>
      <c r="H15" s="26">
        <f t="shared" si="7"/>
        <v>0.10241349285512547</v>
      </c>
      <c r="I15" s="15">
        <f t="shared" si="1"/>
        <v>1595.3112696571393</v>
      </c>
      <c r="J15" s="26">
        <f t="shared" si="2"/>
        <v>1595311.2696571392</v>
      </c>
      <c r="K15" s="4">
        <v>206557.8</v>
      </c>
      <c r="L15" s="4">
        <f t="shared" si="3"/>
        <v>0.11293036798224201</v>
      </c>
      <c r="M15" s="5">
        <f t="shared" si="4"/>
        <v>980202.42563688208</v>
      </c>
      <c r="N15" s="3">
        <f t="shared" si="6"/>
        <v>0.2943967263270395</v>
      </c>
      <c r="O15" s="27">
        <v>2495091</v>
      </c>
    </row>
    <row r="16" spans="1:15" x14ac:dyDescent="0.25">
      <c r="A16" s="13">
        <v>2004</v>
      </c>
      <c r="B16" s="14">
        <v>2361156.946</v>
      </c>
      <c r="C16" s="14">
        <v>9599755.1599660423</v>
      </c>
      <c r="D16" s="14">
        <v>10.6</v>
      </c>
      <c r="E16" s="3">
        <f t="shared" si="0"/>
        <v>22221573.176140863</v>
      </c>
      <c r="F16" s="1">
        <v>1185.2</v>
      </c>
      <c r="G16" s="26">
        <f t="shared" si="5"/>
        <v>10.625516597245943</v>
      </c>
      <c r="H16" s="26">
        <f t="shared" si="7"/>
        <v>0.16718278251275498</v>
      </c>
      <c r="I16" s="15">
        <f t="shared" si="1"/>
        <v>1992.2012706716166</v>
      </c>
      <c r="J16" s="26">
        <f t="shared" si="2"/>
        <v>1992201.2706716165</v>
      </c>
      <c r="K16" s="4">
        <v>391597.6</v>
      </c>
      <c r="L16" s="4">
        <f t="shared" si="3"/>
        <v>0.16584988162832612</v>
      </c>
      <c r="M16" s="5">
        <f t="shared" si="4"/>
        <v>1592118.256941281</v>
      </c>
      <c r="N16" s="3">
        <f t="shared" si="6"/>
        <v>0.62427496127323834</v>
      </c>
      <c r="O16" s="27">
        <v>2521733</v>
      </c>
    </row>
    <row r="17" spans="1:15" x14ac:dyDescent="0.25">
      <c r="A17" s="13">
        <v>2005</v>
      </c>
      <c r="B17" s="14">
        <v>3041405.7370000002</v>
      </c>
      <c r="C17" s="14">
        <v>10300537.286643563</v>
      </c>
      <c r="D17" s="14">
        <v>7.3</v>
      </c>
      <c r="E17" s="3">
        <f t="shared" si="0"/>
        <v>23843748.017999146</v>
      </c>
      <c r="F17" s="1">
        <v>1205.3</v>
      </c>
      <c r="G17" s="26">
        <f t="shared" si="5"/>
        <v>12.755569026749095</v>
      </c>
      <c r="H17" s="26">
        <f t="shared" si="7"/>
        <v>0.20046577594686044</v>
      </c>
      <c r="I17" s="15">
        <f t="shared" si="1"/>
        <v>2523.3599410935039</v>
      </c>
      <c r="J17" s="26">
        <f t="shared" si="2"/>
        <v>2523359.941093504</v>
      </c>
      <c r="K17" s="4">
        <v>642089</v>
      </c>
      <c r="L17" s="4">
        <f t="shared" si="3"/>
        <v>0.21111586401929641</v>
      </c>
      <c r="M17" s="5">
        <f t="shared" si="4"/>
        <v>2174606.8291327348</v>
      </c>
      <c r="N17" s="3">
        <f t="shared" si="6"/>
        <v>0.36585760489331332</v>
      </c>
      <c r="O17" s="27">
        <v>2551081</v>
      </c>
    </row>
    <row r="18" spans="1:15" x14ac:dyDescent="0.25">
      <c r="A18" s="13">
        <v>2006</v>
      </c>
      <c r="B18" s="14">
        <v>4027558.62</v>
      </c>
      <c r="C18" s="14">
        <v>11186383.49329491</v>
      </c>
      <c r="D18" s="14">
        <v>8.6</v>
      </c>
      <c r="E18" s="3">
        <f t="shared" si="0"/>
        <v>25894310.347547073</v>
      </c>
      <c r="F18" s="1">
        <v>1179.5999999999999</v>
      </c>
      <c r="G18" s="26">
        <f t="shared" si="5"/>
        <v>15.553836213218647</v>
      </c>
      <c r="H18" s="26">
        <f t="shared" si="7"/>
        <v>0.21937611568730797</v>
      </c>
      <c r="I18" s="15">
        <f t="shared" si="1"/>
        <v>3414.3426754832149</v>
      </c>
      <c r="J18" s="26">
        <f t="shared" si="2"/>
        <v>3414342.6754832147</v>
      </c>
      <c r="K18" s="4">
        <v>1145733.8999999999</v>
      </c>
      <c r="L18" s="4">
        <f t="shared" si="3"/>
        <v>0.28447355038124805</v>
      </c>
      <c r="M18" s="5">
        <f t="shared" si="4"/>
        <v>3182230.2282637912</v>
      </c>
      <c r="N18" s="3">
        <f t="shared" si="6"/>
        <v>0.46335888659602498</v>
      </c>
      <c r="O18" s="27">
        <v>2583254</v>
      </c>
    </row>
    <row r="19" spans="1:15" x14ac:dyDescent="0.25">
      <c r="A19" s="13">
        <v>2007</v>
      </c>
      <c r="B19" s="14">
        <v>4956647.1809999999</v>
      </c>
      <c r="C19" s="14">
        <v>12327394.609610992</v>
      </c>
      <c r="D19" s="14">
        <v>10.199999999999999</v>
      </c>
      <c r="E19" s="3">
        <f t="shared" si="0"/>
        <v>28535530.002996877</v>
      </c>
      <c r="F19" s="1">
        <v>1170.4000000000001</v>
      </c>
      <c r="G19" s="26">
        <f t="shared" si="5"/>
        <v>17.370089780983356</v>
      </c>
      <c r="H19" s="26">
        <f t="shared" si="7"/>
        <v>0.11677206464480716</v>
      </c>
      <c r="I19" s="15">
        <f t="shared" si="1"/>
        <v>4235.0027178742303</v>
      </c>
      <c r="J19" s="26">
        <f t="shared" si="2"/>
        <v>4235002.7178742299</v>
      </c>
      <c r="K19" s="4">
        <v>1340854.3999999999</v>
      </c>
      <c r="L19" s="4">
        <f t="shared" si="3"/>
        <v>0.27051640979003139</v>
      </c>
      <c r="M19" s="5">
        <f t="shared" si="4"/>
        <v>3334762.5318569508</v>
      </c>
      <c r="N19" s="3">
        <f t="shared" si="6"/>
        <v>4.7932516710577744E-2</v>
      </c>
      <c r="O19" s="27">
        <v>2620446</v>
      </c>
    </row>
    <row r="20" spans="1:15" x14ac:dyDescent="0.25">
      <c r="A20" s="13">
        <v>2008</v>
      </c>
      <c r="B20" s="14">
        <v>6555569.3540000003</v>
      </c>
      <c r="C20" s="14">
        <v>13424532.729866369</v>
      </c>
      <c r="D20" s="14">
        <v>8.9</v>
      </c>
      <c r="E20" s="3">
        <f t="shared" si="0"/>
        <v>31075192.173263598</v>
      </c>
      <c r="F20" s="3">
        <v>1166.0999999999999</v>
      </c>
      <c r="G20" s="26">
        <f t="shared" si="5"/>
        <v>21.095828844592845</v>
      </c>
      <c r="H20" s="26">
        <f t="shared" si="7"/>
        <v>0.21449164112487207</v>
      </c>
      <c r="I20" s="15">
        <f t="shared" si="1"/>
        <v>5621.7900300145793</v>
      </c>
      <c r="J20" s="26">
        <f t="shared" si="2"/>
        <v>5621790.0300145792</v>
      </c>
      <c r="K20" s="4">
        <v>1324247.7</v>
      </c>
      <c r="L20" s="4">
        <f t="shared" si="3"/>
        <v>0.2020034612542061</v>
      </c>
      <c r="M20" s="5">
        <f t="shared" si="4"/>
        <v>2711802.0771533828</v>
      </c>
      <c r="N20" s="3">
        <f t="shared" si="6"/>
        <v>-0.18680804067828927</v>
      </c>
      <c r="O20" s="27">
        <v>2665955</v>
      </c>
    </row>
    <row r="21" spans="1:15" x14ac:dyDescent="0.25">
      <c r="A21" s="13">
        <v>2009</v>
      </c>
      <c r="B21" s="14">
        <v>6590637.1399999997</v>
      </c>
      <c r="C21" s="14">
        <v>13250013.804378105</v>
      </c>
      <c r="D21" s="14">
        <v>-1.3</v>
      </c>
      <c r="E21" s="3">
        <f t="shared" si="0"/>
        <v>30671214.675011173</v>
      </c>
      <c r="F21" s="1">
        <v>1437.9</v>
      </c>
      <c r="G21" s="26">
        <f t="shared" si="5"/>
        <v>21.488021292386588</v>
      </c>
      <c r="H21" s="26">
        <f t="shared" si="7"/>
        <v>1.859099496317107E-2</v>
      </c>
      <c r="I21" s="15">
        <f t="shared" si="1"/>
        <v>4583.5156408651501</v>
      </c>
      <c r="J21" s="26">
        <f t="shared" si="2"/>
        <v>4583515.6408651499</v>
      </c>
      <c r="K21" s="4">
        <v>1285899.7</v>
      </c>
      <c r="L21" s="4">
        <f t="shared" si="3"/>
        <v>0.19511007398595762</v>
      </c>
      <c r="M21" s="5">
        <f t="shared" si="4"/>
        <v>2585211.1736871717</v>
      </c>
      <c r="N21" s="3">
        <f t="shared" si="6"/>
        <v>-4.6681468582358887E-2</v>
      </c>
      <c r="O21" s="27">
        <v>2716275</v>
      </c>
    </row>
    <row r="22" spans="1:15" x14ac:dyDescent="0.25">
      <c r="A22" s="13">
        <v>2010</v>
      </c>
      <c r="B22" s="14">
        <v>9756588.4399999995</v>
      </c>
      <c r="C22" s="14">
        <v>14098014.687858304</v>
      </c>
      <c r="D22" s="14">
        <v>6.4</v>
      </c>
      <c r="E22" s="3">
        <f t="shared" si="0"/>
        <v>32634172.414211892</v>
      </c>
      <c r="F22" s="1">
        <v>1356.44</v>
      </c>
      <c r="G22" s="26">
        <f t="shared" si="5"/>
        <v>29.896846520768801</v>
      </c>
      <c r="H22" s="26">
        <f t="shared" si="7"/>
        <v>0.39132617722049345</v>
      </c>
      <c r="I22" s="15">
        <f t="shared" si="1"/>
        <v>7192.7902745421834</v>
      </c>
      <c r="J22" s="26">
        <f t="shared" si="2"/>
        <v>7192790.2745421836</v>
      </c>
      <c r="K22" s="4">
        <v>2102157.9</v>
      </c>
      <c r="L22" s="4">
        <f t="shared" si="3"/>
        <v>0.21546034384125359</v>
      </c>
      <c r="M22" s="5">
        <f t="shared" si="4"/>
        <v>3037563.0921249934</v>
      </c>
      <c r="N22" s="3">
        <f t="shared" si="6"/>
        <v>0.17497677676855017</v>
      </c>
      <c r="O22" s="27">
        <v>2760968</v>
      </c>
    </row>
    <row r="23" spans="1:15" x14ac:dyDescent="0.25">
      <c r="A23" s="13">
        <v>2011</v>
      </c>
      <c r="B23" s="14">
        <v>13173763.35</v>
      </c>
      <c r="C23" s="14">
        <v>16536971.228857791</v>
      </c>
      <c r="D23" s="14">
        <v>17.3</v>
      </c>
      <c r="E23" s="3">
        <f t="shared" si="0"/>
        <v>38279884.241870552</v>
      </c>
      <c r="F23" s="1">
        <v>1265.53</v>
      </c>
      <c r="G23" s="26">
        <f t="shared" si="5"/>
        <v>34.414323895970753</v>
      </c>
      <c r="H23" s="26">
        <f t="shared" si="7"/>
        <v>0.15110213620903945</v>
      </c>
      <c r="I23" s="15">
        <f t="shared" si="1"/>
        <v>10409.680805670352</v>
      </c>
      <c r="J23" s="26">
        <f t="shared" si="2"/>
        <v>10409680.805670353</v>
      </c>
      <c r="K23" s="4">
        <v>2536239.6</v>
      </c>
      <c r="L23" s="4">
        <f t="shared" si="3"/>
        <v>0.19252202522675499</v>
      </c>
      <c r="M23" s="5">
        <f t="shared" si="4"/>
        <v>3183731.1920962813</v>
      </c>
      <c r="N23" s="3">
        <f t="shared" si="6"/>
        <v>4.8120185667989812E-2</v>
      </c>
      <c r="O23" s="27">
        <v>2811666</v>
      </c>
    </row>
    <row r="24" spans="1:15" x14ac:dyDescent="0.25">
      <c r="A24" s="13">
        <v>2012</v>
      </c>
      <c r="B24" s="14">
        <v>16688419.550000001</v>
      </c>
      <c r="C24" s="14">
        <v>18571018.690007299</v>
      </c>
      <c r="D24" s="14">
        <v>12.3</v>
      </c>
      <c r="E24" s="3">
        <f t="shared" si="0"/>
        <v>42988310.003620632</v>
      </c>
      <c r="F24" s="1">
        <v>1359.4</v>
      </c>
      <c r="G24" s="26">
        <f t="shared" si="5"/>
        <v>38.820831869395292</v>
      </c>
      <c r="H24" s="26">
        <f t="shared" si="7"/>
        <v>0.12804284595986082</v>
      </c>
      <c r="I24" s="15">
        <f t="shared" si="1"/>
        <v>12276.312748271295</v>
      </c>
      <c r="J24" s="26">
        <f t="shared" si="2"/>
        <v>12276312.748271296</v>
      </c>
      <c r="K24" s="4">
        <v>2742750.5</v>
      </c>
      <c r="L24" s="4">
        <f t="shared" si="3"/>
        <v>0.16435052413336529</v>
      </c>
      <c r="M24" s="5">
        <f t="shared" si="4"/>
        <v>3052156.6553932223</v>
      </c>
      <c r="N24" s="3">
        <f t="shared" si="6"/>
        <v>-4.1327150052647976E-2</v>
      </c>
      <c r="O24" s="27">
        <v>2867744</v>
      </c>
    </row>
    <row r="25" spans="1:15" x14ac:dyDescent="0.25">
      <c r="A25" s="13">
        <v>2013</v>
      </c>
      <c r="B25" s="14">
        <v>19174242.600000001</v>
      </c>
      <c r="C25" s="14">
        <v>20725256.858048148</v>
      </c>
      <c r="D25" s="17">
        <v>11.6</v>
      </c>
      <c r="E25" s="3">
        <f t="shared" si="0"/>
        <v>47974953.96404063</v>
      </c>
      <c r="F25" s="1">
        <v>1525.72</v>
      </c>
      <c r="G25" s="26">
        <f t="shared" si="5"/>
        <v>39.967193328360359</v>
      </c>
      <c r="H25" s="26">
        <f t="shared" si="7"/>
        <v>2.9529543901113842E-2</v>
      </c>
      <c r="I25" s="15">
        <f t="shared" si="1"/>
        <v>12567.340403219465</v>
      </c>
      <c r="J25" s="26">
        <f t="shared" si="2"/>
        <v>12567340.403219465</v>
      </c>
      <c r="K25" s="4">
        <v>2849415.3</v>
      </c>
      <c r="L25" s="4">
        <f t="shared" si="3"/>
        <v>0.14860640701395941</v>
      </c>
      <c r="M25" s="5">
        <f t="shared" si="4"/>
        <v>3079905.9561159569</v>
      </c>
      <c r="N25" s="3">
        <f t="shared" si="6"/>
        <v>9.0917026403940504E-3</v>
      </c>
      <c r="O25" s="27">
        <v>2930277</v>
      </c>
    </row>
    <row r="26" spans="1:15" x14ac:dyDescent="0.25">
      <c r="A26" s="13">
        <v>2014</v>
      </c>
      <c r="B26" s="14">
        <v>22227054.300000001</v>
      </c>
      <c r="C26" s="14">
        <v>22362552.149833951</v>
      </c>
      <c r="D26">
        <v>8.1</v>
      </c>
      <c r="E26" s="3">
        <f t="shared" si="0"/>
        <v>51860925.235127918</v>
      </c>
      <c r="F26" s="1">
        <v>1818.28</v>
      </c>
      <c r="G26" s="26">
        <f t="shared" si="5"/>
        <v>42.858962116905197</v>
      </c>
      <c r="H26" s="26">
        <f t="shared" si="7"/>
        <v>7.2353561702138913E-2</v>
      </c>
      <c r="I26" s="15">
        <f t="shared" si="1"/>
        <v>12224.219757133116</v>
      </c>
      <c r="J26" s="26">
        <f t="shared" si="2"/>
        <v>12224219.757133117</v>
      </c>
      <c r="K26" s="4">
        <v>3661031.2</v>
      </c>
      <c r="L26" s="4">
        <f t="shared" si="3"/>
        <v>0.16471058875309447</v>
      </c>
      <c r="M26" s="5">
        <f t="shared" si="4"/>
        <v>3683349.1306209285</v>
      </c>
      <c r="N26" s="3">
        <f t="shared" si="6"/>
        <v>0.19592909105119838</v>
      </c>
      <c r="O26" s="27">
        <v>2995949</v>
      </c>
    </row>
    <row r="27" spans="1:15" x14ac:dyDescent="0.25">
      <c r="A27" s="13">
        <v>2015</v>
      </c>
      <c r="B27" s="14">
        <v>22894780.890999999</v>
      </c>
      <c r="C27" s="3">
        <v>22894780.899999999</v>
      </c>
      <c r="D27">
        <v>2.5</v>
      </c>
      <c r="E27" s="3">
        <f t="shared" si="0"/>
        <v>53157448.366006114</v>
      </c>
      <c r="F27" s="1">
        <v>1970.66</v>
      </c>
      <c r="G27" s="26">
        <f t="shared" si="5"/>
        <v>43.069751454889399</v>
      </c>
      <c r="H27" s="26">
        <f t="shared" si="7"/>
        <v>4.9182091112995874E-3</v>
      </c>
      <c r="I27" s="15">
        <f t="shared" si="1"/>
        <v>11617.823922442227</v>
      </c>
      <c r="J27" s="26">
        <f t="shared" si="2"/>
        <v>11617823.922442228</v>
      </c>
      <c r="K27" s="4">
        <v>4150464.3</v>
      </c>
      <c r="L27" s="4">
        <f t="shared" si="3"/>
        <v>0.18128429879980021</v>
      </c>
      <c r="M27" s="5">
        <f t="shared" si="4"/>
        <v>4150464.3016315587</v>
      </c>
      <c r="N27" s="3">
        <f t="shared" si="6"/>
        <v>0.12681805456000461</v>
      </c>
      <c r="O27" s="27">
        <v>3057778</v>
      </c>
    </row>
    <row r="28" spans="1:15" x14ac:dyDescent="0.25">
      <c r="A28" s="13">
        <v>2016</v>
      </c>
      <c r="B28" s="14">
        <v>23931342.642000001</v>
      </c>
      <c r="C28" s="17">
        <v>23240859</v>
      </c>
      <c r="D28">
        <v>1.5</v>
      </c>
      <c r="E28" s="3">
        <f t="shared" si="0"/>
        <v>53954810.091496199</v>
      </c>
      <c r="F28" s="1">
        <v>2147.7399999999998</v>
      </c>
      <c r="G28" s="26">
        <f t="shared" si="5"/>
        <v>44.354419191574195</v>
      </c>
      <c r="H28" s="26">
        <f t="shared" si="7"/>
        <v>2.9827609709573988E-2</v>
      </c>
      <c r="I28" s="15">
        <f t="shared" si="1"/>
        <v>11142.569697449413</v>
      </c>
      <c r="J28" s="26">
        <f t="shared" si="2"/>
        <v>11142569.697449412</v>
      </c>
      <c r="K28" s="4">
        <v>4822677.5</v>
      </c>
      <c r="L28" s="4">
        <f t="shared" si="3"/>
        <v>0.20152139276699424</v>
      </c>
      <c r="M28" s="5">
        <f t="shared" si="4"/>
        <v>4683530.2747813333</v>
      </c>
      <c r="N28" s="3">
        <f t="shared" si="6"/>
        <v>0.12843526275848816</v>
      </c>
      <c r="O28" s="27">
        <v>3119935</v>
      </c>
    </row>
    <row r="29" spans="1:15" x14ac:dyDescent="0.25">
      <c r="A29" s="13">
        <v>2017</v>
      </c>
      <c r="B29" s="14">
        <v>28010710.566</v>
      </c>
      <c r="C29" s="1">
        <v>24533720.100000001</v>
      </c>
      <c r="D29">
        <v>5.6</v>
      </c>
      <c r="E29" s="3">
        <f t="shared" si="0"/>
        <v>56976279.456619985</v>
      </c>
      <c r="F29" s="1">
        <v>2440.63</v>
      </c>
      <c r="G29" s="26">
        <f t="shared" si="5"/>
        <v>49.162056268216858</v>
      </c>
      <c r="H29" s="26">
        <f t="shared" si="7"/>
        <v>0.10839138837277229</v>
      </c>
      <c r="I29" s="15">
        <f t="shared" si="1"/>
        <v>11476.83613083507</v>
      </c>
      <c r="J29" s="26">
        <f t="shared" si="2"/>
        <v>11476836.130835071</v>
      </c>
      <c r="K29" s="4">
        <v>7007876.2000000002</v>
      </c>
      <c r="L29" s="4">
        <f t="shared" si="3"/>
        <v>0.25018559181095212</v>
      </c>
      <c r="M29" s="5">
        <f t="shared" si="4"/>
        <v>6137983.2825427521</v>
      </c>
      <c r="N29" s="3">
        <f t="shared" si="6"/>
        <v>0.31054630213302614</v>
      </c>
      <c r="O29" s="27">
        <v>3177899</v>
      </c>
    </row>
    <row r="30" spans="1:15" x14ac:dyDescent="0.25">
      <c r="A30" s="13">
        <v>2018</v>
      </c>
      <c r="B30" s="14">
        <v>32582629.019000001</v>
      </c>
      <c r="C30" s="1">
        <v>26393886.300000001</v>
      </c>
      <c r="D30" s="16">
        <v>7.6</v>
      </c>
      <c r="E30" s="3">
        <f t="shared" si="0"/>
        <v>61306476.69532311</v>
      </c>
      <c r="F30" s="1">
        <v>2472.67</v>
      </c>
      <c r="G30" s="26">
        <f t="shared" si="5"/>
        <v>53.147123722224329</v>
      </c>
      <c r="H30" s="26">
        <f t="shared" si="7"/>
        <v>8.1059820449044251E-2</v>
      </c>
      <c r="I30" s="15">
        <f t="shared" si="1"/>
        <v>13177.10370530641</v>
      </c>
      <c r="J30" s="26">
        <f t="shared" si="2"/>
        <v>13177103.705306411</v>
      </c>
      <c r="K30" s="4">
        <v>8370789.2000000002</v>
      </c>
      <c r="L30" s="4">
        <f t="shared" si="3"/>
        <v>0.25690956967035161</v>
      </c>
      <c r="M30" s="5">
        <f t="shared" si="4"/>
        <v>6780841.9712611893</v>
      </c>
      <c r="N30" s="3">
        <f t="shared" si="6"/>
        <v>0.10473451280762092</v>
      </c>
      <c r="O30" s="27">
        <v>3238479</v>
      </c>
    </row>
    <row r="31" spans="1:15" x14ac:dyDescent="0.25">
      <c r="A31" s="13">
        <v>2019</v>
      </c>
      <c r="B31" s="14">
        <v>37839225.358000003</v>
      </c>
      <c r="C31" s="1">
        <v>27836818.5</v>
      </c>
      <c r="D31">
        <v>5.5</v>
      </c>
      <c r="E31" s="3">
        <f t="shared" si="0"/>
        <v>64678332.913565874</v>
      </c>
      <c r="F31" s="1">
        <v>2663.94</v>
      </c>
      <c r="G31" s="26">
        <f t="shared" si="5"/>
        <v>58.503711603957342</v>
      </c>
      <c r="H31" s="26">
        <f t="shared" si="7"/>
        <v>0.10078791675969989</v>
      </c>
      <c r="I31" s="15">
        <f t="shared" si="1"/>
        <v>14204.233337837941</v>
      </c>
      <c r="J31" s="26">
        <f t="shared" si="2"/>
        <v>14204233.33783794</v>
      </c>
      <c r="K31" s="4">
        <v>9590129.5</v>
      </c>
      <c r="L31" s="4">
        <f t="shared" si="3"/>
        <v>0.2534441286592683</v>
      </c>
      <c r="M31" s="5">
        <f t="shared" si="4"/>
        <v>7055078.2093786998</v>
      </c>
      <c r="N31" s="3">
        <f t="shared" si="6"/>
        <v>4.0442800360160014E-2</v>
      </c>
      <c r="O31" s="27">
        <v>3296866</v>
      </c>
    </row>
    <row r="32" spans="1:15" x14ac:dyDescent="0.25">
      <c r="A32" s="13">
        <v>2020</v>
      </c>
      <c r="B32" s="1">
        <v>37883041.700000003</v>
      </c>
      <c r="C32" s="1">
        <v>26622722.600000001</v>
      </c>
      <c r="D32">
        <v>-4.4000000000000004</v>
      </c>
      <c r="E32" s="3">
        <f t="shared" si="0"/>
        <v>61832486.265368976</v>
      </c>
      <c r="F32" s="1">
        <v>2813.53</v>
      </c>
      <c r="G32" s="26">
        <f t="shared" si="5"/>
        <v>61.267214029556925</v>
      </c>
      <c r="H32" s="26">
        <f t="shared" si="7"/>
        <v>4.7236360733951432E-2</v>
      </c>
      <c r="I32" s="15">
        <f t="shared" si="1"/>
        <v>13464.594903910745</v>
      </c>
      <c r="J32" s="26">
        <f t="shared" si="2"/>
        <v>13464594.903910745</v>
      </c>
      <c r="K32" s="4">
        <v>8722066.5999999996</v>
      </c>
      <c r="L32" s="4">
        <f t="shared" si="3"/>
        <v>0.2302367024557059</v>
      </c>
      <c r="M32" s="5">
        <f t="shared" si="4"/>
        <v>6129527.8618169976</v>
      </c>
      <c r="N32" s="3">
        <f t="shared" si="6"/>
        <v>-0.13118923987707432</v>
      </c>
      <c r="O32" s="27">
        <v>3357542</v>
      </c>
    </row>
    <row r="33" spans="1:15" x14ac:dyDescent="0.25">
      <c r="A33" s="13">
        <v>2021</v>
      </c>
      <c r="B33" s="1">
        <v>44702733.200000003</v>
      </c>
      <c r="C33" s="1">
        <v>27054719.199999999</v>
      </c>
      <c r="D33">
        <v>1.6</v>
      </c>
      <c r="E33" s="3">
        <f t="shared" si="0"/>
        <v>62821806.045614883</v>
      </c>
      <c r="F33" s="1">
        <v>2849.29</v>
      </c>
      <c r="G33" s="26">
        <f t="shared" si="5"/>
        <v>71.157987988344956</v>
      </c>
      <c r="H33" s="26">
        <f t="shared" si="7"/>
        <v>0.16143665279143371</v>
      </c>
      <c r="I33" s="15">
        <f t="shared" si="1"/>
        <v>15689.078051023238</v>
      </c>
      <c r="J33" s="26">
        <f t="shared" si="2"/>
        <v>15689078.051023237</v>
      </c>
      <c r="K33" s="4">
        <v>10753722.6</v>
      </c>
      <c r="L33" s="4">
        <f t="shared" si="3"/>
        <v>0.24056074047839202</v>
      </c>
      <c r="M33" s="5">
        <f t="shared" si="4"/>
        <v>6508303.2841869695</v>
      </c>
      <c r="N33" s="3">
        <f t="shared" si="6"/>
        <v>6.179520362889579E-2</v>
      </c>
      <c r="O33" s="27">
        <v>3409939</v>
      </c>
    </row>
    <row r="34" spans="1:15" x14ac:dyDescent="0.25">
      <c r="A34" s="13">
        <v>2022</v>
      </c>
      <c r="B34" s="1">
        <v>54877815.600000001</v>
      </c>
      <c r="C34" s="1">
        <v>28395052.5</v>
      </c>
      <c r="D34">
        <v>4.7</v>
      </c>
      <c r="E34" s="3">
        <f t="shared" si="0"/>
        <v>65774430.92975878</v>
      </c>
      <c r="F34" s="1">
        <v>3144.83</v>
      </c>
      <c r="G34" s="26">
        <f t="shared" si="5"/>
        <v>83.433356737977121</v>
      </c>
      <c r="H34" s="26">
        <f t="shared" si="7"/>
        <v>0.17250865428689122</v>
      </c>
      <c r="I34" s="15">
        <f t="shared" si="1"/>
        <v>17450.169198335047</v>
      </c>
      <c r="J34" s="26">
        <f t="shared" si="2"/>
        <v>17450169.198335048</v>
      </c>
      <c r="K34" s="1">
        <v>12402469</v>
      </c>
      <c r="L34" s="4">
        <f t="shared" si="3"/>
        <v>0.22600150651769019</v>
      </c>
      <c r="M34" s="5">
        <f t="shared" si="4"/>
        <v>6417324.6426489046</v>
      </c>
      <c r="N34" s="3">
        <f>M34/M33-1</f>
        <v>-1.3978857094615327E-2</v>
      </c>
      <c r="O34" s="27">
        <v>3457548</v>
      </c>
    </row>
    <row r="35" spans="1:15" x14ac:dyDescent="0.25">
      <c r="A35" s="13">
        <v>2023</v>
      </c>
      <c r="B35" s="1">
        <v>70444360.099999994</v>
      </c>
      <c r="C35" s="1">
        <v>30411077.300000001</v>
      </c>
      <c r="D35" s="17">
        <f>100*(C35-C34)/C34</f>
        <v>7.0999157335595724</v>
      </c>
      <c r="E35" s="5">
        <f>B35</f>
        <v>70444360.099999994</v>
      </c>
      <c r="F35" s="18">
        <v>3465.78</v>
      </c>
      <c r="G35" s="26">
        <f t="shared" si="5"/>
        <v>100</v>
      </c>
      <c r="H35" s="26">
        <f t="shared" si="7"/>
        <v>0.19856138970951998</v>
      </c>
      <c r="I35" s="15">
        <f t="shared" si="1"/>
        <v>20325.687175758412</v>
      </c>
      <c r="J35" s="26">
        <f>I35*1000</f>
        <v>20325687.175758414</v>
      </c>
      <c r="K35" s="1">
        <v>19439076.100000001</v>
      </c>
      <c r="L35" s="4">
        <f t="shared" si="3"/>
        <v>0.27594936021003053</v>
      </c>
      <c r="M35" s="5">
        <f t="shared" si="4"/>
        <v>8391917.3242327832</v>
      </c>
      <c r="N35" s="3">
        <f>M35/M34-1</f>
        <v>0.30769717780224659</v>
      </c>
      <c r="O35" s="28">
        <v>3504741</v>
      </c>
    </row>
    <row r="36" spans="1:15" x14ac:dyDescent="0.25">
      <c r="D36" s="12"/>
      <c r="E36" s="12"/>
      <c r="F36" s="12"/>
      <c r="G36" s="12"/>
      <c r="H36" s="12"/>
      <c r="I36" s="12"/>
      <c r="J36" s="12"/>
    </row>
    <row r="37" spans="1:15" x14ac:dyDescent="0.25">
      <c r="B37"/>
      <c r="C37" s="12"/>
      <c r="D37" s="12"/>
      <c r="E37" s="12"/>
      <c r="F37" s="12"/>
      <c r="G37" s="12"/>
      <c r="H37" s="12"/>
      <c r="I37" s="12"/>
      <c r="J37" s="12"/>
      <c r="K37" s="12"/>
    </row>
    <row r="38" spans="1:15" x14ac:dyDescent="0.25">
      <c r="D38" s="12"/>
      <c r="E38" s="12"/>
      <c r="F38" s="12"/>
      <c r="G38" s="12"/>
      <c r="H38" s="12"/>
      <c r="I38" s="12"/>
      <c r="J38" s="12"/>
    </row>
    <row r="39" spans="1:15" x14ac:dyDescent="0.25">
      <c r="D39" s="12"/>
      <c r="E39" s="12"/>
      <c r="F39" s="12"/>
      <c r="G39" s="12"/>
      <c r="H39" s="12"/>
      <c r="I39" s="12"/>
      <c r="J39" s="12"/>
    </row>
    <row r="40" spans="1:15" x14ac:dyDescent="0.25">
      <c r="D40" s="12"/>
      <c r="E40" s="12"/>
      <c r="F40" s="12"/>
      <c r="G40" s="12"/>
      <c r="H40" s="12"/>
      <c r="I40" s="12"/>
      <c r="J40" s="12"/>
    </row>
    <row r="41" spans="1:15" x14ac:dyDescent="0.25">
      <c r="D41" s="12"/>
      <c r="E41" s="12"/>
      <c r="F41" s="12"/>
      <c r="G41" s="12"/>
      <c r="H41" s="12"/>
      <c r="I41" s="12"/>
      <c r="J41" s="12"/>
    </row>
    <row r="42" spans="1:15" x14ac:dyDescent="0.25">
      <c r="D42" s="12"/>
      <c r="E42" s="12"/>
      <c r="F42" s="12"/>
      <c r="G42" s="12"/>
      <c r="H42" s="12"/>
      <c r="I42" s="12"/>
      <c r="J42" s="12"/>
    </row>
    <row r="43" spans="1:15" x14ac:dyDescent="0.25">
      <c r="D43" s="12"/>
      <c r="E43" s="12"/>
      <c r="F43" s="12"/>
      <c r="G43" s="12"/>
      <c r="H43" s="12"/>
      <c r="I43" s="12"/>
      <c r="J43" s="12"/>
    </row>
    <row r="44" spans="1:15" x14ac:dyDescent="0.25">
      <c r="D44" s="12"/>
      <c r="E44" s="12"/>
      <c r="F44" s="12"/>
      <c r="G44" s="12"/>
      <c r="H44" s="12"/>
      <c r="I44" s="12"/>
      <c r="J44" s="12"/>
    </row>
    <row r="45" spans="1:15" x14ac:dyDescent="0.25">
      <c r="D45" s="12"/>
      <c r="E45" s="12"/>
      <c r="F45" s="12"/>
      <c r="G45" s="12"/>
      <c r="H45" s="12"/>
      <c r="I45" s="12"/>
      <c r="J45" s="12"/>
    </row>
    <row r="46" spans="1:15" x14ac:dyDescent="0.25">
      <c r="D46" s="12"/>
      <c r="E46" s="12"/>
      <c r="F46" s="12"/>
      <c r="G46" s="12"/>
      <c r="H46" s="12"/>
      <c r="I46" s="12"/>
      <c r="J46" s="12"/>
    </row>
    <row r="47" spans="1:15" x14ac:dyDescent="0.25">
      <c r="D47" s="12"/>
      <c r="E47" s="12"/>
      <c r="F47" s="12"/>
      <c r="G47" s="12"/>
      <c r="H47" s="12"/>
      <c r="I47" s="12"/>
      <c r="J47" s="12"/>
    </row>
    <row r="48" spans="1:15" x14ac:dyDescent="0.25">
      <c r="D48" s="12"/>
      <c r="E48" s="12"/>
      <c r="F48" s="12"/>
      <c r="G48" s="12"/>
      <c r="H48" s="12"/>
      <c r="I48" s="12"/>
      <c r="J48" s="12"/>
    </row>
    <row r="49" spans="4:10" x14ac:dyDescent="0.25">
      <c r="D49" s="12"/>
      <c r="E49" s="12"/>
      <c r="F49" s="12"/>
      <c r="G49" s="12"/>
      <c r="H49" s="12"/>
      <c r="I49" s="12"/>
      <c r="J49" s="12"/>
    </row>
    <row r="50" spans="4:10" x14ac:dyDescent="0.25">
      <c r="D50" s="12"/>
      <c r="E50" s="12"/>
      <c r="F50" s="12"/>
      <c r="G50" s="12"/>
      <c r="H50" s="12"/>
      <c r="I50" s="12"/>
      <c r="J50" s="12"/>
    </row>
    <row r="51" spans="4:10" x14ac:dyDescent="0.25">
      <c r="D51" s="12"/>
      <c r="E51" s="12"/>
      <c r="F51" s="12"/>
      <c r="G51" s="12"/>
      <c r="H51" s="12"/>
      <c r="I51" s="12"/>
      <c r="J51" s="12"/>
    </row>
    <row r="52" spans="4:10" x14ac:dyDescent="0.25">
      <c r="D52" s="12"/>
      <c r="E52" s="12"/>
      <c r="F52" s="12"/>
      <c r="G52" s="12"/>
      <c r="H52" s="12"/>
      <c r="I52" s="12"/>
      <c r="J52" s="12"/>
    </row>
    <row r="53" spans="4:10" x14ac:dyDescent="0.25">
      <c r="D53" s="12"/>
      <c r="E53" s="12"/>
      <c r="F53" s="12"/>
      <c r="G53" s="12"/>
      <c r="H53" s="12"/>
      <c r="I53" s="12"/>
      <c r="J53" s="12"/>
    </row>
    <row r="54" spans="4:10" x14ac:dyDescent="0.25">
      <c r="D54" s="12"/>
      <c r="E54" s="12"/>
      <c r="F54" s="12"/>
      <c r="G54" s="12"/>
      <c r="H54" s="12"/>
      <c r="I54" s="12"/>
      <c r="J54" s="12"/>
    </row>
    <row r="55" spans="4:10" x14ac:dyDescent="0.25">
      <c r="D55" s="12"/>
      <c r="E55" s="12"/>
      <c r="F55" s="12"/>
      <c r="G55" s="12"/>
      <c r="H55" s="12"/>
      <c r="I55" s="12"/>
      <c r="J55" s="12"/>
    </row>
    <row r="56" spans="4:10" x14ac:dyDescent="0.25">
      <c r="D56" s="12"/>
      <c r="E56" s="12"/>
      <c r="F56" s="12"/>
      <c r="G56" s="12"/>
      <c r="H56" s="12"/>
      <c r="I56" s="12"/>
      <c r="J56" s="12"/>
    </row>
    <row r="57" spans="4:10" x14ac:dyDescent="0.25">
      <c r="D57" s="12"/>
      <c r="E57" s="12"/>
      <c r="F57" s="12"/>
      <c r="G57" s="12"/>
      <c r="H57" s="12"/>
      <c r="I57" s="12"/>
      <c r="J57" s="12"/>
    </row>
    <row r="58" spans="4:10" x14ac:dyDescent="0.25">
      <c r="D58" s="12"/>
      <c r="E58" s="12"/>
      <c r="F58" s="12"/>
      <c r="G58" s="12"/>
      <c r="H58" s="12"/>
      <c r="I58" s="12"/>
      <c r="J58" s="1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2653-B0EE-4D8C-B1EC-E5A2D84C6C7C}">
  <dimension ref="A1:I74"/>
  <sheetViews>
    <sheetView topLeftCell="A61" workbookViewId="0">
      <selection activeCell="A72" sqref="A72:I74"/>
    </sheetView>
  </sheetViews>
  <sheetFormatPr defaultRowHeight="15" x14ac:dyDescent="0.25"/>
  <cols>
    <col min="2" max="2" width="25.5703125" bestFit="1" customWidth="1"/>
    <col min="3" max="4" width="12" bestFit="1" customWidth="1"/>
    <col min="5" max="5" width="8.28515625" customWidth="1"/>
    <col min="6" max="6" width="18.140625" bestFit="1" customWidth="1"/>
    <col min="7" max="7" width="17.140625" bestFit="1" customWidth="1"/>
    <col min="8" max="8" width="17.85546875" bestFit="1" customWidth="1"/>
    <col min="9" max="9" width="18.140625" bestFit="1" customWidth="1"/>
    <col min="10" max="10" width="17.140625" bestFit="1" customWidth="1"/>
    <col min="11" max="11" width="17.85546875" bestFit="1" customWidth="1"/>
    <col min="12" max="12" width="16.85546875" bestFit="1" customWidth="1"/>
  </cols>
  <sheetData>
    <row r="1" spans="1: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5">
      <c r="A2">
        <v>2012</v>
      </c>
      <c r="B2" t="s">
        <v>19</v>
      </c>
      <c r="C2">
        <v>2701</v>
      </c>
      <c r="D2" t="s">
        <v>20</v>
      </c>
      <c r="E2" t="s">
        <v>21</v>
      </c>
      <c r="F2" s="1">
        <v>7160</v>
      </c>
      <c r="G2">
        <v>0.73</v>
      </c>
      <c r="H2">
        <v>175.2</v>
      </c>
      <c r="I2">
        <v>15.21</v>
      </c>
    </row>
    <row r="3" spans="1:9" x14ac:dyDescent="0.25">
      <c r="A3">
        <v>2012</v>
      </c>
      <c r="B3" t="s">
        <v>22</v>
      </c>
      <c r="C3">
        <v>2701</v>
      </c>
      <c r="D3" t="s">
        <v>20</v>
      </c>
      <c r="E3" t="s">
        <v>21</v>
      </c>
      <c r="F3">
        <v>0</v>
      </c>
      <c r="G3">
        <v>0</v>
      </c>
      <c r="H3">
        <v>14.8</v>
      </c>
      <c r="I3">
        <v>0.72</v>
      </c>
    </row>
    <row r="4" spans="1:9" x14ac:dyDescent="0.25">
      <c r="A4">
        <v>2012</v>
      </c>
      <c r="B4" t="s">
        <v>23</v>
      </c>
      <c r="C4">
        <v>2701</v>
      </c>
      <c r="D4" t="s">
        <v>20</v>
      </c>
      <c r="E4" t="s">
        <v>21</v>
      </c>
      <c r="F4">
        <v>0</v>
      </c>
      <c r="G4">
        <v>0</v>
      </c>
      <c r="H4" s="1">
        <v>1400</v>
      </c>
      <c r="I4">
        <v>4.1900000000000004</v>
      </c>
    </row>
    <row r="5" spans="1:9" x14ac:dyDescent="0.25">
      <c r="A5">
        <v>2012</v>
      </c>
      <c r="B5" t="s">
        <v>24</v>
      </c>
      <c r="C5">
        <v>2701</v>
      </c>
      <c r="D5" t="s">
        <v>20</v>
      </c>
      <c r="E5" t="s">
        <v>21</v>
      </c>
      <c r="F5">
        <v>0</v>
      </c>
      <c r="G5">
        <v>0</v>
      </c>
      <c r="H5" s="1">
        <v>1303</v>
      </c>
      <c r="I5">
        <v>1.91</v>
      </c>
    </row>
    <row r="6" spans="1:9" x14ac:dyDescent="0.25">
      <c r="A6">
        <v>2012</v>
      </c>
      <c r="B6" t="s">
        <v>25</v>
      </c>
      <c r="C6">
        <v>2701</v>
      </c>
      <c r="D6" t="s">
        <v>20</v>
      </c>
      <c r="E6" t="s">
        <v>21</v>
      </c>
      <c r="F6" s="1">
        <v>20520066065.150002</v>
      </c>
      <c r="G6" s="1">
        <v>1874893.31</v>
      </c>
      <c r="H6" s="1">
        <v>253781.6</v>
      </c>
      <c r="I6">
        <v>91.05</v>
      </c>
    </row>
    <row r="7" spans="1:9" x14ac:dyDescent="0.25">
      <c r="A7">
        <v>2012</v>
      </c>
      <c r="B7" t="s">
        <v>26</v>
      </c>
      <c r="C7">
        <v>2701</v>
      </c>
      <c r="D7" t="s">
        <v>20</v>
      </c>
      <c r="E7" t="s">
        <v>21</v>
      </c>
      <c r="F7" s="1">
        <v>2736610</v>
      </c>
      <c r="G7">
        <v>187.68</v>
      </c>
      <c r="H7">
        <v>0</v>
      </c>
      <c r="I7">
        <v>0</v>
      </c>
    </row>
    <row r="8" spans="1:9" x14ac:dyDescent="0.25">
      <c r="A8">
        <v>2012</v>
      </c>
      <c r="B8" t="s">
        <v>27</v>
      </c>
      <c r="C8">
        <v>2701</v>
      </c>
      <c r="D8" t="s">
        <v>20</v>
      </c>
      <c r="E8" t="s">
        <v>21</v>
      </c>
      <c r="F8">
        <v>0</v>
      </c>
      <c r="G8">
        <v>0</v>
      </c>
      <c r="H8">
        <v>0.05</v>
      </c>
      <c r="I8">
        <v>0.05</v>
      </c>
    </row>
    <row r="9" spans="1:9" x14ac:dyDescent="0.25">
      <c r="A9">
        <v>2012</v>
      </c>
      <c r="B9" t="s">
        <v>28</v>
      </c>
      <c r="C9">
        <v>2701</v>
      </c>
      <c r="D9" t="s">
        <v>20</v>
      </c>
      <c r="E9" t="s">
        <v>21</v>
      </c>
      <c r="F9" s="1">
        <v>1299050</v>
      </c>
      <c r="G9">
        <v>71.16</v>
      </c>
      <c r="H9">
        <v>0</v>
      </c>
      <c r="I9">
        <v>0</v>
      </c>
    </row>
    <row r="10" spans="1:9" x14ac:dyDescent="0.25">
      <c r="A10">
        <v>2012</v>
      </c>
      <c r="B10" t="s">
        <v>29</v>
      </c>
      <c r="C10">
        <v>2701</v>
      </c>
      <c r="D10" t="s">
        <v>20</v>
      </c>
      <c r="E10" t="s">
        <v>21</v>
      </c>
      <c r="F10" s="1">
        <v>23302730</v>
      </c>
      <c r="G10" s="1">
        <v>5243.11</v>
      </c>
      <c r="H10">
        <v>0</v>
      </c>
      <c r="I10">
        <v>0</v>
      </c>
    </row>
    <row r="11" spans="1:9" x14ac:dyDescent="0.25">
      <c r="A11">
        <v>2012</v>
      </c>
      <c r="B11" t="s">
        <v>30</v>
      </c>
      <c r="C11">
        <v>2701</v>
      </c>
      <c r="D11" t="s">
        <v>20</v>
      </c>
      <c r="E11" t="s">
        <v>21</v>
      </c>
      <c r="F11">
        <v>0</v>
      </c>
      <c r="G11">
        <v>0</v>
      </c>
      <c r="H11">
        <v>19</v>
      </c>
      <c r="I11">
        <v>0.35</v>
      </c>
    </row>
    <row r="12" spans="1:9" x14ac:dyDescent="0.25">
      <c r="A12">
        <v>2013</v>
      </c>
      <c r="B12" t="s">
        <v>19</v>
      </c>
      <c r="C12">
        <v>2701</v>
      </c>
      <c r="D12" t="s">
        <v>20</v>
      </c>
      <c r="E12" t="s">
        <v>21</v>
      </c>
      <c r="F12">
        <v>0</v>
      </c>
      <c r="G12">
        <v>0</v>
      </c>
      <c r="H12">
        <v>30.47</v>
      </c>
      <c r="I12">
        <v>2.85</v>
      </c>
    </row>
    <row r="13" spans="1:9" x14ac:dyDescent="0.25">
      <c r="A13">
        <v>2013</v>
      </c>
      <c r="B13" t="s">
        <v>22</v>
      </c>
      <c r="C13">
        <v>2701</v>
      </c>
      <c r="D13" t="s">
        <v>20</v>
      </c>
      <c r="E13" t="s">
        <v>21</v>
      </c>
      <c r="F13">
        <v>0</v>
      </c>
      <c r="G13">
        <v>0</v>
      </c>
      <c r="H13">
        <v>15.21</v>
      </c>
      <c r="I13">
        <v>1.75</v>
      </c>
    </row>
    <row r="14" spans="1:9" x14ac:dyDescent="0.25">
      <c r="A14">
        <v>2013</v>
      </c>
      <c r="B14" t="s">
        <v>24</v>
      </c>
      <c r="C14">
        <v>2701</v>
      </c>
      <c r="D14" t="s">
        <v>20</v>
      </c>
      <c r="E14" t="s">
        <v>21</v>
      </c>
      <c r="F14">
        <v>0</v>
      </c>
      <c r="G14">
        <v>0</v>
      </c>
      <c r="H14" s="1">
        <v>3291.7</v>
      </c>
      <c r="I14">
        <v>5.48</v>
      </c>
    </row>
    <row r="15" spans="1:9" x14ac:dyDescent="0.25">
      <c r="A15">
        <v>2013</v>
      </c>
      <c r="B15" t="s">
        <v>25</v>
      </c>
      <c r="C15">
        <v>2701</v>
      </c>
      <c r="D15" t="s">
        <v>20</v>
      </c>
      <c r="E15" t="s">
        <v>21</v>
      </c>
      <c r="F15" s="1">
        <v>18193264594.150002</v>
      </c>
      <c r="G15" s="1">
        <v>1116114.06</v>
      </c>
      <c r="H15" s="1">
        <v>728916.68</v>
      </c>
      <c r="I15">
        <v>223.4</v>
      </c>
    </row>
    <row r="16" spans="1:9" x14ac:dyDescent="0.25">
      <c r="A16">
        <v>2013</v>
      </c>
      <c r="B16" t="s">
        <v>26</v>
      </c>
      <c r="C16">
        <v>2701</v>
      </c>
      <c r="D16" t="s">
        <v>20</v>
      </c>
      <c r="E16" t="s">
        <v>21</v>
      </c>
      <c r="F16" s="1">
        <v>584000</v>
      </c>
      <c r="G16">
        <v>38.950000000000003</v>
      </c>
      <c r="H16">
        <v>0</v>
      </c>
      <c r="I16">
        <v>0</v>
      </c>
    </row>
    <row r="17" spans="1:9" x14ac:dyDescent="0.25">
      <c r="A17">
        <v>2013</v>
      </c>
      <c r="B17" t="s">
        <v>27</v>
      </c>
      <c r="C17">
        <v>2701</v>
      </c>
      <c r="D17" t="s">
        <v>20</v>
      </c>
      <c r="E17" t="s">
        <v>21</v>
      </c>
      <c r="F17">
        <v>0</v>
      </c>
      <c r="G17">
        <v>0</v>
      </c>
      <c r="H17">
        <v>0.32</v>
      </c>
      <c r="I17">
        <v>0.28000000000000003</v>
      </c>
    </row>
    <row r="18" spans="1:9" x14ac:dyDescent="0.25">
      <c r="A18">
        <v>2014</v>
      </c>
      <c r="B18" t="s">
        <v>19</v>
      </c>
      <c r="C18">
        <v>2701</v>
      </c>
      <c r="D18" t="s">
        <v>20</v>
      </c>
      <c r="E18" t="s">
        <v>21</v>
      </c>
      <c r="F18">
        <v>0</v>
      </c>
      <c r="G18">
        <v>0</v>
      </c>
      <c r="H18" s="1">
        <v>2613</v>
      </c>
      <c r="I18">
        <v>5.52</v>
      </c>
    </row>
    <row r="19" spans="1:9" x14ac:dyDescent="0.25">
      <c r="A19">
        <v>2014</v>
      </c>
      <c r="B19" t="s">
        <v>22</v>
      </c>
      <c r="C19">
        <v>2701</v>
      </c>
      <c r="D19" t="s">
        <v>20</v>
      </c>
      <c r="E19" t="s">
        <v>21</v>
      </c>
      <c r="F19">
        <v>0</v>
      </c>
      <c r="G19">
        <v>0</v>
      </c>
      <c r="H19">
        <v>56.02</v>
      </c>
      <c r="I19">
        <v>2.86</v>
      </c>
    </row>
    <row r="20" spans="1:9" x14ac:dyDescent="0.25">
      <c r="A20">
        <v>2014</v>
      </c>
      <c r="B20" t="s">
        <v>24</v>
      </c>
      <c r="C20">
        <v>2701</v>
      </c>
      <c r="D20" t="s">
        <v>20</v>
      </c>
      <c r="E20" t="s">
        <v>21</v>
      </c>
      <c r="F20" s="1">
        <v>36240</v>
      </c>
      <c r="G20">
        <v>3.61</v>
      </c>
      <c r="H20">
        <v>933</v>
      </c>
      <c r="I20">
        <v>1.97</v>
      </c>
    </row>
    <row r="21" spans="1:9" x14ac:dyDescent="0.25">
      <c r="A21">
        <v>2014</v>
      </c>
      <c r="B21" t="s">
        <v>25</v>
      </c>
      <c r="C21">
        <v>2701</v>
      </c>
      <c r="D21" t="s">
        <v>20</v>
      </c>
      <c r="E21" t="s">
        <v>21</v>
      </c>
      <c r="F21" s="1">
        <v>19461343218.900002</v>
      </c>
      <c r="G21" s="1">
        <v>847180.54</v>
      </c>
      <c r="H21" s="1">
        <v>1377832</v>
      </c>
      <c r="I21">
        <v>113.3</v>
      </c>
    </row>
    <row r="22" spans="1:9" x14ac:dyDescent="0.25">
      <c r="A22">
        <v>2014</v>
      </c>
      <c r="B22" t="s">
        <v>31</v>
      </c>
      <c r="C22">
        <v>2701</v>
      </c>
      <c r="D22" t="s">
        <v>20</v>
      </c>
      <c r="E22" t="s">
        <v>21</v>
      </c>
      <c r="F22">
        <v>0</v>
      </c>
      <c r="G22">
        <v>0</v>
      </c>
      <c r="H22">
        <v>9.9</v>
      </c>
      <c r="I22">
        <v>0.5</v>
      </c>
    </row>
    <row r="23" spans="1:9" x14ac:dyDescent="0.25">
      <c r="A23">
        <v>2014</v>
      </c>
      <c r="B23" t="s">
        <v>26</v>
      </c>
      <c r="C23">
        <v>2701</v>
      </c>
      <c r="D23" t="s">
        <v>20</v>
      </c>
      <c r="E23" t="s">
        <v>21</v>
      </c>
      <c r="F23" s="1">
        <v>19937330</v>
      </c>
      <c r="G23" s="1">
        <v>1418.63</v>
      </c>
      <c r="H23">
        <v>0</v>
      </c>
      <c r="I23">
        <v>0</v>
      </c>
    </row>
    <row r="24" spans="1:9" x14ac:dyDescent="0.25">
      <c r="A24">
        <v>2014</v>
      </c>
      <c r="B24" t="s">
        <v>27</v>
      </c>
      <c r="C24">
        <v>2701</v>
      </c>
      <c r="D24" t="s">
        <v>20</v>
      </c>
      <c r="E24" t="s">
        <v>21</v>
      </c>
      <c r="F24" s="1">
        <v>1000</v>
      </c>
      <c r="G24">
        <v>0.02</v>
      </c>
      <c r="H24">
        <v>804</v>
      </c>
      <c r="I24">
        <v>2.4700000000000002</v>
      </c>
    </row>
    <row r="25" spans="1:9" x14ac:dyDescent="0.25">
      <c r="A25">
        <v>2015</v>
      </c>
      <c r="B25" t="s">
        <v>19</v>
      </c>
      <c r="C25">
        <v>2701</v>
      </c>
      <c r="D25" t="s">
        <v>20</v>
      </c>
      <c r="E25" t="s">
        <v>21</v>
      </c>
      <c r="F25">
        <v>0</v>
      </c>
      <c r="G25">
        <v>0</v>
      </c>
      <c r="H25">
        <v>1.4</v>
      </c>
      <c r="I25">
        <v>0.41</v>
      </c>
    </row>
    <row r="26" spans="1:9" x14ac:dyDescent="0.25">
      <c r="A26">
        <v>2015</v>
      </c>
      <c r="B26" t="s">
        <v>22</v>
      </c>
      <c r="C26">
        <v>2701</v>
      </c>
      <c r="D26" t="s">
        <v>20</v>
      </c>
      <c r="E26" t="s">
        <v>21</v>
      </c>
      <c r="F26">
        <v>0</v>
      </c>
      <c r="G26">
        <v>0</v>
      </c>
      <c r="H26">
        <v>5.4</v>
      </c>
      <c r="I26">
        <v>0.16</v>
      </c>
    </row>
    <row r="27" spans="1:9" x14ac:dyDescent="0.25">
      <c r="A27">
        <v>2015</v>
      </c>
      <c r="B27" t="s">
        <v>24</v>
      </c>
      <c r="C27">
        <v>2701</v>
      </c>
      <c r="D27" t="s">
        <v>20</v>
      </c>
      <c r="E27" t="s">
        <v>21</v>
      </c>
      <c r="F27" s="1">
        <v>1092940</v>
      </c>
      <c r="G27">
        <v>90.15</v>
      </c>
      <c r="H27">
        <v>233</v>
      </c>
      <c r="I27">
        <v>1.06</v>
      </c>
    </row>
    <row r="28" spans="1:9" x14ac:dyDescent="0.25">
      <c r="A28">
        <v>2015</v>
      </c>
      <c r="B28" t="s">
        <v>25</v>
      </c>
      <c r="C28">
        <v>2701</v>
      </c>
      <c r="D28" t="s">
        <v>20</v>
      </c>
      <c r="E28" t="s">
        <v>21</v>
      </c>
      <c r="F28" s="1">
        <v>13965736775</v>
      </c>
      <c r="G28" s="1">
        <v>532305.13</v>
      </c>
      <c r="H28" s="1">
        <v>813420</v>
      </c>
      <c r="I28">
        <v>92.1</v>
      </c>
    </row>
    <row r="29" spans="1:9" x14ac:dyDescent="0.25">
      <c r="A29">
        <v>2015</v>
      </c>
      <c r="B29" t="s">
        <v>32</v>
      </c>
      <c r="C29">
        <v>2701</v>
      </c>
      <c r="D29" t="s">
        <v>20</v>
      </c>
      <c r="E29" t="s">
        <v>21</v>
      </c>
      <c r="F29" s="1">
        <v>161501800</v>
      </c>
      <c r="G29" s="1">
        <v>7071.08</v>
      </c>
      <c r="H29">
        <v>0</v>
      </c>
      <c r="I29">
        <v>0</v>
      </c>
    </row>
    <row r="30" spans="1:9" x14ac:dyDescent="0.25">
      <c r="A30">
        <v>2015</v>
      </c>
      <c r="B30" t="s">
        <v>26</v>
      </c>
      <c r="C30">
        <v>2701</v>
      </c>
      <c r="D30" t="s">
        <v>20</v>
      </c>
      <c r="E30" t="s">
        <v>21</v>
      </c>
      <c r="F30" s="1">
        <v>76761130</v>
      </c>
      <c r="G30" s="1">
        <v>5980.38</v>
      </c>
      <c r="H30">
        <v>0</v>
      </c>
      <c r="I30">
        <v>0</v>
      </c>
    </row>
    <row r="31" spans="1:9" x14ac:dyDescent="0.25">
      <c r="A31">
        <v>2015</v>
      </c>
      <c r="B31" t="s">
        <v>33</v>
      </c>
      <c r="C31">
        <v>2701</v>
      </c>
      <c r="D31" t="s">
        <v>20</v>
      </c>
      <c r="E31" t="s">
        <v>21</v>
      </c>
      <c r="F31" s="1">
        <v>221220100</v>
      </c>
      <c r="G31" s="1">
        <v>9576.32</v>
      </c>
      <c r="H31">
        <v>0</v>
      </c>
      <c r="I31">
        <v>0</v>
      </c>
    </row>
    <row r="32" spans="1:9" x14ac:dyDescent="0.25">
      <c r="A32">
        <v>2016</v>
      </c>
      <c r="B32" t="s">
        <v>19</v>
      </c>
      <c r="C32">
        <v>2701</v>
      </c>
      <c r="D32" t="s">
        <v>20</v>
      </c>
      <c r="E32" t="s">
        <v>21</v>
      </c>
      <c r="F32">
        <v>0</v>
      </c>
      <c r="G32">
        <v>0</v>
      </c>
      <c r="H32">
        <v>0.78</v>
      </c>
      <c r="I32">
        <v>0.36</v>
      </c>
    </row>
    <row r="33" spans="1:9" x14ac:dyDescent="0.25">
      <c r="A33">
        <v>2016</v>
      </c>
      <c r="B33" t="s">
        <v>22</v>
      </c>
      <c r="C33">
        <v>2701</v>
      </c>
      <c r="D33" t="s">
        <v>20</v>
      </c>
      <c r="E33" t="s">
        <v>21</v>
      </c>
      <c r="F33">
        <v>0</v>
      </c>
      <c r="G33">
        <v>0</v>
      </c>
      <c r="H33" s="1">
        <v>6622.6</v>
      </c>
      <c r="I33">
        <v>11.45</v>
      </c>
    </row>
    <row r="34" spans="1:9" x14ac:dyDescent="0.25">
      <c r="A34">
        <v>2016</v>
      </c>
      <c r="B34" t="s">
        <v>25</v>
      </c>
      <c r="C34">
        <v>2701</v>
      </c>
      <c r="D34" t="s">
        <v>20</v>
      </c>
      <c r="E34" t="s">
        <v>21</v>
      </c>
      <c r="F34" s="1">
        <v>25317322770</v>
      </c>
      <c r="G34" s="1">
        <v>949164.19</v>
      </c>
      <c r="H34" s="1">
        <v>287650</v>
      </c>
      <c r="I34">
        <v>27.79</v>
      </c>
    </row>
    <row r="35" spans="1:9" x14ac:dyDescent="0.25">
      <c r="A35">
        <v>2016</v>
      </c>
      <c r="B35" t="s">
        <v>32</v>
      </c>
      <c r="C35">
        <v>2701</v>
      </c>
      <c r="D35" t="s">
        <v>20</v>
      </c>
      <c r="E35" t="s">
        <v>21</v>
      </c>
      <c r="F35" s="1">
        <v>316604450</v>
      </c>
      <c r="G35" s="1">
        <v>18453.52</v>
      </c>
      <c r="H35">
        <v>0</v>
      </c>
      <c r="I35">
        <v>0</v>
      </c>
    </row>
    <row r="36" spans="1:9" x14ac:dyDescent="0.25">
      <c r="A36">
        <v>2016</v>
      </c>
      <c r="B36" t="s">
        <v>26</v>
      </c>
      <c r="C36">
        <v>2701</v>
      </c>
      <c r="D36" t="s">
        <v>20</v>
      </c>
      <c r="E36" t="s">
        <v>21</v>
      </c>
      <c r="F36">
        <v>0</v>
      </c>
      <c r="G36">
        <v>0</v>
      </c>
      <c r="H36">
        <v>200</v>
      </c>
      <c r="I36">
        <v>0.08</v>
      </c>
    </row>
    <row r="37" spans="1:9" x14ac:dyDescent="0.25">
      <c r="A37">
        <v>2016</v>
      </c>
      <c r="B37" t="s">
        <v>27</v>
      </c>
      <c r="C37">
        <v>2701</v>
      </c>
      <c r="D37" t="s">
        <v>20</v>
      </c>
      <c r="E37" t="s">
        <v>21</v>
      </c>
      <c r="F37">
        <v>0</v>
      </c>
      <c r="G37">
        <v>0</v>
      </c>
      <c r="H37" s="1">
        <v>1250</v>
      </c>
      <c r="I37">
        <v>3.72</v>
      </c>
    </row>
    <row r="38" spans="1:9" x14ac:dyDescent="0.25">
      <c r="A38">
        <v>2016</v>
      </c>
      <c r="B38" t="s">
        <v>28</v>
      </c>
      <c r="C38">
        <v>2701</v>
      </c>
      <c r="D38" t="s">
        <v>20</v>
      </c>
      <c r="E38" t="s">
        <v>21</v>
      </c>
      <c r="F38" s="1">
        <v>79959000</v>
      </c>
      <c r="G38" s="1">
        <v>4138.71</v>
      </c>
      <c r="H38">
        <v>0</v>
      </c>
      <c r="I38">
        <v>0</v>
      </c>
    </row>
    <row r="39" spans="1:9" x14ac:dyDescent="0.25">
      <c r="A39">
        <v>2017</v>
      </c>
      <c r="B39" t="s">
        <v>19</v>
      </c>
      <c r="C39">
        <v>2701</v>
      </c>
      <c r="D39" t="s">
        <v>20</v>
      </c>
      <c r="E39" t="s">
        <v>21</v>
      </c>
      <c r="F39">
        <v>0</v>
      </c>
      <c r="G39">
        <v>0</v>
      </c>
      <c r="H39">
        <v>10.54</v>
      </c>
      <c r="I39">
        <v>1.05</v>
      </c>
    </row>
    <row r="40" spans="1:9" x14ac:dyDescent="0.25">
      <c r="A40">
        <v>2017</v>
      </c>
      <c r="B40" t="s">
        <v>24</v>
      </c>
      <c r="C40">
        <v>2701</v>
      </c>
      <c r="D40" t="s">
        <v>20</v>
      </c>
      <c r="E40" t="s">
        <v>21</v>
      </c>
      <c r="F40">
        <v>0</v>
      </c>
      <c r="G40">
        <v>0</v>
      </c>
      <c r="H40">
        <v>237.5</v>
      </c>
      <c r="I40">
        <v>0.06</v>
      </c>
    </row>
    <row r="41" spans="1:9" x14ac:dyDescent="0.25">
      <c r="A41">
        <v>2017</v>
      </c>
      <c r="B41" t="s">
        <v>25</v>
      </c>
      <c r="C41">
        <v>2701</v>
      </c>
      <c r="D41" t="s">
        <v>20</v>
      </c>
      <c r="E41" t="s">
        <v>21</v>
      </c>
      <c r="F41" s="1">
        <v>32291706230</v>
      </c>
      <c r="G41" s="1">
        <v>2187781.15</v>
      </c>
      <c r="H41" s="1">
        <v>1843352.31</v>
      </c>
      <c r="I41">
        <v>40.04</v>
      </c>
    </row>
    <row r="42" spans="1:9" x14ac:dyDescent="0.25">
      <c r="A42">
        <v>2017</v>
      </c>
      <c r="B42" t="s">
        <v>32</v>
      </c>
      <c r="C42">
        <v>2701</v>
      </c>
      <c r="D42" t="s">
        <v>20</v>
      </c>
      <c r="E42" t="s">
        <v>21</v>
      </c>
      <c r="F42" s="1">
        <v>489821490</v>
      </c>
      <c r="G42" s="1">
        <v>55390.95</v>
      </c>
      <c r="H42">
        <v>0</v>
      </c>
      <c r="I42">
        <v>0</v>
      </c>
    </row>
    <row r="43" spans="1:9" x14ac:dyDescent="0.25">
      <c r="A43">
        <v>2017</v>
      </c>
      <c r="B43" t="s">
        <v>26</v>
      </c>
      <c r="C43">
        <v>2701</v>
      </c>
      <c r="D43" t="s">
        <v>20</v>
      </c>
      <c r="E43" t="s">
        <v>21</v>
      </c>
      <c r="F43" s="1">
        <v>3743</v>
      </c>
      <c r="G43">
        <v>1.25</v>
      </c>
      <c r="H43">
        <v>0</v>
      </c>
      <c r="I43">
        <v>0</v>
      </c>
    </row>
    <row r="44" spans="1:9" x14ac:dyDescent="0.25">
      <c r="A44">
        <v>2017</v>
      </c>
      <c r="B44" t="s">
        <v>33</v>
      </c>
      <c r="C44">
        <v>2701</v>
      </c>
      <c r="D44" t="s">
        <v>20</v>
      </c>
      <c r="E44" t="s">
        <v>21</v>
      </c>
      <c r="F44" s="1">
        <v>91631750</v>
      </c>
      <c r="G44" s="1">
        <v>5820.44</v>
      </c>
      <c r="H44">
        <v>0</v>
      </c>
      <c r="I44">
        <v>0</v>
      </c>
    </row>
    <row r="45" spans="1:9" x14ac:dyDescent="0.25">
      <c r="A45">
        <v>2017</v>
      </c>
      <c r="B45" t="s">
        <v>28</v>
      </c>
      <c r="C45">
        <v>2701</v>
      </c>
      <c r="D45" t="s">
        <v>20</v>
      </c>
      <c r="E45" t="s">
        <v>21</v>
      </c>
      <c r="F45" s="1">
        <v>117764850</v>
      </c>
      <c r="G45" s="1">
        <v>7660.77</v>
      </c>
      <c r="H45">
        <v>0</v>
      </c>
      <c r="I45">
        <v>0</v>
      </c>
    </row>
    <row r="46" spans="1:9" x14ac:dyDescent="0.25">
      <c r="A46">
        <v>2018</v>
      </c>
      <c r="B46" t="s">
        <v>24</v>
      </c>
      <c r="C46">
        <v>2701</v>
      </c>
      <c r="D46" t="s">
        <v>20</v>
      </c>
      <c r="E46" t="s">
        <v>21</v>
      </c>
      <c r="F46">
        <v>0</v>
      </c>
      <c r="G46">
        <v>0</v>
      </c>
      <c r="H46">
        <v>162.69999999999999</v>
      </c>
      <c r="I46">
        <v>0.21</v>
      </c>
    </row>
    <row r="47" spans="1:9" x14ac:dyDescent="0.25">
      <c r="A47">
        <v>2018</v>
      </c>
      <c r="B47" t="s">
        <v>25</v>
      </c>
      <c r="C47">
        <v>2701</v>
      </c>
      <c r="D47" t="s">
        <v>20</v>
      </c>
      <c r="E47" t="s">
        <v>21</v>
      </c>
      <c r="F47" s="1">
        <v>35360684608</v>
      </c>
      <c r="G47" s="1">
        <v>2754550.13</v>
      </c>
      <c r="H47" s="1">
        <v>2075461</v>
      </c>
      <c r="I47">
        <v>42.53</v>
      </c>
    </row>
    <row r="48" spans="1:9" x14ac:dyDescent="0.25">
      <c r="A48">
        <v>2018</v>
      </c>
      <c r="B48" t="s">
        <v>32</v>
      </c>
      <c r="C48">
        <v>2701</v>
      </c>
      <c r="D48" t="s">
        <v>20</v>
      </c>
      <c r="E48" t="s">
        <v>21</v>
      </c>
      <c r="F48" s="1">
        <v>98305250</v>
      </c>
      <c r="G48" s="1">
        <v>12075.85</v>
      </c>
      <c r="H48">
        <v>0</v>
      </c>
      <c r="I48">
        <v>0</v>
      </c>
    </row>
    <row r="49" spans="1:9" x14ac:dyDescent="0.25">
      <c r="A49">
        <v>2018</v>
      </c>
      <c r="B49" t="s">
        <v>34</v>
      </c>
      <c r="C49">
        <v>2701</v>
      </c>
      <c r="D49" t="s">
        <v>20</v>
      </c>
      <c r="E49" t="s">
        <v>21</v>
      </c>
      <c r="F49">
        <v>0</v>
      </c>
      <c r="G49">
        <v>0</v>
      </c>
      <c r="H49">
        <v>125</v>
      </c>
      <c r="I49">
        <v>0.21</v>
      </c>
    </row>
    <row r="50" spans="1:9" x14ac:dyDescent="0.25">
      <c r="A50">
        <v>2018</v>
      </c>
      <c r="B50" t="s">
        <v>33</v>
      </c>
      <c r="C50">
        <v>2701</v>
      </c>
      <c r="D50" t="s">
        <v>20</v>
      </c>
      <c r="E50" t="s">
        <v>21</v>
      </c>
      <c r="F50" s="1">
        <v>164391550</v>
      </c>
      <c r="G50" s="1">
        <v>10755.74</v>
      </c>
      <c r="H50">
        <v>0</v>
      </c>
      <c r="I50">
        <v>0</v>
      </c>
    </row>
    <row r="51" spans="1:9" x14ac:dyDescent="0.25">
      <c r="A51">
        <v>2018</v>
      </c>
      <c r="B51" t="s">
        <v>28</v>
      </c>
      <c r="C51">
        <v>2701</v>
      </c>
      <c r="D51" t="s">
        <v>20</v>
      </c>
      <c r="E51" t="s">
        <v>21</v>
      </c>
      <c r="F51" s="1">
        <v>134817600</v>
      </c>
      <c r="G51" s="1">
        <v>8840.57</v>
      </c>
      <c r="H51">
        <v>0</v>
      </c>
      <c r="I51">
        <v>0</v>
      </c>
    </row>
    <row r="52" spans="1:9" x14ac:dyDescent="0.25">
      <c r="A52">
        <v>2019</v>
      </c>
      <c r="B52" t="s">
        <v>19</v>
      </c>
      <c r="C52">
        <v>2701</v>
      </c>
      <c r="D52" t="s">
        <v>20</v>
      </c>
      <c r="E52" t="s">
        <v>21</v>
      </c>
      <c r="F52">
        <v>0</v>
      </c>
      <c r="G52">
        <v>0</v>
      </c>
      <c r="H52" s="1">
        <v>6000</v>
      </c>
      <c r="I52">
        <v>8.93</v>
      </c>
    </row>
    <row r="53" spans="1:9" x14ac:dyDescent="0.25">
      <c r="A53">
        <v>2019</v>
      </c>
      <c r="B53" t="s">
        <v>25</v>
      </c>
      <c r="C53">
        <v>2701</v>
      </c>
      <c r="D53" t="s">
        <v>20</v>
      </c>
      <c r="E53" t="s">
        <v>21</v>
      </c>
      <c r="F53" s="1">
        <v>35798266420</v>
      </c>
      <c r="G53" s="1">
        <v>3014306.61</v>
      </c>
      <c r="H53" s="1">
        <v>49509011.479999997</v>
      </c>
      <c r="I53" s="1">
        <v>1074.6099999999999</v>
      </c>
    </row>
    <row r="54" spans="1:9" x14ac:dyDescent="0.25">
      <c r="A54">
        <v>2019</v>
      </c>
      <c r="B54" t="s">
        <v>32</v>
      </c>
      <c r="C54">
        <v>2701</v>
      </c>
      <c r="D54" t="s">
        <v>20</v>
      </c>
      <c r="E54" t="s">
        <v>21</v>
      </c>
      <c r="F54" s="1">
        <v>333166110</v>
      </c>
      <c r="G54" s="1">
        <v>35838.46</v>
      </c>
      <c r="H54">
        <v>0</v>
      </c>
      <c r="I54">
        <v>0</v>
      </c>
    </row>
    <row r="55" spans="1:9" x14ac:dyDescent="0.25">
      <c r="A55">
        <v>2019</v>
      </c>
      <c r="B55" t="s">
        <v>33</v>
      </c>
      <c r="C55">
        <v>2701</v>
      </c>
      <c r="D55" t="s">
        <v>20</v>
      </c>
      <c r="E55" t="s">
        <v>21</v>
      </c>
      <c r="F55" s="1">
        <v>335331300</v>
      </c>
      <c r="G55" s="1">
        <v>24231.31</v>
      </c>
      <c r="H55">
        <v>0</v>
      </c>
      <c r="I55">
        <v>0</v>
      </c>
    </row>
    <row r="56" spans="1:9" x14ac:dyDescent="0.25">
      <c r="A56">
        <v>2020</v>
      </c>
      <c r="B56" t="s">
        <v>22</v>
      </c>
      <c r="C56">
        <v>2701</v>
      </c>
      <c r="D56" t="s">
        <v>20</v>
      </c>
      <c r="E56" t="s">
        <v>21</v>
      </c>
      <c r="F56">
        <v>0</v>
      </c>
      <c r="G56">
        <v>0</v>
      </c>
      <c r="H56" s="1">
        <v>3000</v>
      </c>
      <c r="I56">
        <v>2.25</v>
      </c>
    </row>
    <row r="57" spans="1:9" x14ac:dyDescent="0.25">
      <c r="A57">
        <v>2020</v>
      </c>
      <c r="B57" t="s">
        <v>24</v>
      </c>
      <c r="C57">
        <v>2701</v>
      </c>
      <c r="D57" t="s">
        <v>20</v>
      </c>
      <c r="E57" t="s">
        <v>21</v>
      </c>
      <c r="F57" s="1">
        <v>26938450</v>
      </c>
      <c r="G57" s="1">
        <v>2886.04</v>
      </c>
      <c r="H57">
        <v>0</v>
      </c>
      <c r="I57">
        <v>0</v>
      </c>
    </row>
    <row r="58" spans="1:9" x14ac:dyDescent="0.25">
      <c r="A58">
        <v>2020</v>
      </c>
      <c r="B58" t="s">
        <v>25</v>
      </c>
      <c r="C58">
        <v>2701</v>
      </c>
      <c r="D58" t="s">
        <v>20</v>
      </c>
      <c r="E58" t="s">
        <v>21</v>
      </c>
      <c r="F58" s="1">
        <v>27209891448</v>
      </c>
      <c r="G58" s="1">
        <v>2008787.65</v>
      </c>
      <c r="H58" s="1">
        <v>3473958</v>
      </c>
      <c r="I58">
        <v>126.59</v>
      </c>
    </row>
    <row r="59" spans="1:9" x14ac:dyDescent="0.25">
      <c r="A59">
        <v>2020</v>
      </c>
      <c r="B59" t="s">
        <v>35</v>
      </c>
      <c r="C59">
        <v>2701</v>
      </c>
      <c r="D59" t="s">
        <v>20</v>
      </c>
      <c r="E59" t="s">
        <v>21</v>
      </c>
      <c r="F59">
        <v>49</v>
      </c>
      <c r="G59">
        <v>0</v>
      </c>
      <c r="H59">
        <v>0</v>
      </c>
      <c r="I59">
        <v>0</v>
      </c>
    </row>
    <row r="60" spans="1:9" x14ac:dyDescent="0.25">
      <c r="A60">
        <v>2020</v>
      </c>
      <c r="B60" t="s">
        <v>32</v>
      </c>
      <c r="C60">
        <v>2701</v>
      </c>
      <c r="D60" t="s">
        <v>20</v>
      </c>
      <c r="E60" t="s">
        <v>21</v>
      </c>
      <c r="F60" s="1">
        <v>296718900</v>
      </c>
      <c r="G60" s="1">
        <v>29819.94</v>
      </c>
      <c r="H60">
        <v>0</v>
      </c>
      <c r="I60">
        <v>0</v>
      </c>
    </row>
    <row r="61" spans="1:9" x14ac:dyDescent="0.25">
      <c r="A61">
        <v>2020</v>
      </c>
      <c r="B61" t="s">
        <v>33</v>
      </c>
      <c r="C61">
        <v>2701</v>
      </c>
      <c r="D61" t="s">
        <v>20</v>
      </c>
      <c r="E61" t="s">
        <v>21</v>
      </c>
      <c r="F61" s="1">
        <v>1053330260</v>
      </c>
      <c r="G61" s="1">
        <v>82175.78</v>
      </c>
      <c r="H61">
        <v>0</v>
      </c>
      <c r="I61">
        <v>0</v>
      </c>
    </row>
    <row r="62" spans="1:9" x14ac:dyDescent="0.25">
      <c r="A62">
        <v>2020</v>
      </c>
      <c r="B62" t="s">
        <v>27</v>
      </c>
      <c r="C62">
        <v>2701</v>
      </c>
      <c r="D62" t="s">
        <v>20</v>
      </c>
      <c r="E62" t="s">
        <v>21</v>
      </c>
      <c r="F62" s="1">
        <v>1600</v>
      </c>
      <c r="G62">
        <v>0.36</v>
      </c>
      <c r="H62">
        <v>0</v>
      </c>
      <c r="I62">
        <v>0</v>
      </c>
    </row>
    <row r="63" spans="1:9" x14ac:dyDescent="0.25">
      <c r="A63">
        <v>2021</v>
      </c>
      <c r="B63" t="s">
        <v>24</v>
      </c>
      <c r="C63">
        <v>2701</v>
      </c>
      <c r="D63" t="s">
        <v>20</v>
      </c>
      <c r="E63" t="s">
        <v>21</v>
      </c>
      <c r="F63" s="1">
        <v>191623630</v>
      </c>
      <c r="G63" s="1">
        <v>50089.15</v>
      </c>
      <c r="H63">
        <v>920.4</v>
      </c>
      <c r="I63">
        <v>1.86</v>
      </c>
    </row>
    <row r="64" spans="1:9" x14ac:dyDescent="0.25">
      <c r="A64">
        <v>2021</v>
      </c>
      <c r="B64" t="s">
        <v>25</v>
      </c>
      <c r="C64">
        <v>2701</v>
      </c>
      <c r="D64" t="s">
        <v>20</v>
      </c>
      <c r="E64" t="s">
        <v>21</v>
      </c>
      <c r="F64" s="1">
        <v>14557791180</v>
      </c>
      <c r="G64" s="1">
        <v>2465807.2599999998</v>
      </c>
      <c r="H64" s="1">
        <v>8450050</v>
      </c>
      <c r="I64">
        <v>731.93</v>
      </c>
    </row>
    <row r="65" spans="1:9" x14ac:dyDescent="0.25">
      <c r="A65">
        <v>2021</v>
      </c>
      <c r="B65" t="s">
        <v>26</v>
      </c>
      <c r="C65">
        <v>2701</v>
      </c>
      <c r="D65" t="s">
        <v>20</v>
      </c>
      <c r="E65" t="s">
        <v>21</v>
      </c>
      <c r="F65" s="1">
        <v>3911900</v>
      </c>
      <c r="G65">
        <v>394.16</v>
      </c>
      <c r="H65">
        <v>0</v>
      </c>
      <c r="I65">
        <v>0</v>
      </c>
    </row>
    <row r="66" spans="1:9" x14ac:dyDescent="0.25">
      <c r="A66">
        <v>2021</v>
      </c>
      <c r="B66" t="s">
        <v>33</v>
      </c>
      <c r="C66">
        <v>2701</v>
      </c>
      <c r="D66" t="s">
        <v>20</v>
      </c>
      <c r="E66" t="s">
        <v>21</v>
      </c>
      <c r="F66" s="1">
        <v>954758300</v>
      </c>
      <c r="G66" s="1">
        <v>247646.53</v>
      </c>
      <c r="H66">
        <v>0</v>
      </c>
      <c r="I66">
        <v>0</v>
      </c>
    </row>
    <row r="67" spans="1:9" x14ac:dyDescent="0.25">
      <c r="A67">
        <v>2022</v>
      </c>
      <c r="B67" t="s">
        <v>22</v>
      </c>
      <c r="C67">
        <v>2701</v>
      </c>
      <c r="D67" t="s">
        <v>20</v>
      </c>
      <c r="E67" t="s">
        <v>21</v>
      </c>
      <c r="F67">
        <v>0</v>
      </c>
      <c r="G67">
        <v>0</v>
      </c>
      <c r="H67" s="1">
        <v>4000</v>
      </c>
      <c r="I67">
        <v>4.93</v>
      </c>
    </row>
    <row r="68" spans="1:9" x14ac:dyDescent="0.25">
      <c r="A68">
        <v>2022</v>
      </c>
      <c r="B68" t="s">
        <v>24</v>
      </c>
      <c r="C68">
        <v>2701</v>
      </c>
      <c r="D68" t="s">
        <v>20</v>
      </c>
      <c r="E68" t="s">
        <v>21</v>
      </c>
      <c r="F68" s="1">
        <v>63976700</v>
      </c>
      <c r="G68" s="1">
        <v>15029.06</v>
      </c>
      <c r="H68">
        <v>0</v>
      </c>
      <c r="I68">
        <v>0</v>
      </c>
    </row>
    <row r="69" spans="1:9" x14ac:dyDescent="0.25">
      <c r="A69">
        <v>2022</v>
      </c>
      <c r="B69" t="s">
        <v>25</v>
      </c>
      <c r="C69">
        <v>2701</v>
      </c>
      <c r="D69" t="s">
        <v>20</v>
      </c>
      <c r="E69" t="s">
        <v>21</v>
      </c>
      <c r="F69" s="1">
        <v>3447364960</v>
      </c>
      <c r="G69" s="1">
        <v>967391.77</v>
      </c>
      <c r="H69" s="1">
        <v>22000</v>
      </c>
      <c r="I69">
        <v>27.28</v>
      </c>
    </row>
    <row r="70" spans="1:9" x14ac:dyDescent="0.25">
      <c r="A70">
        <v>2022</v>
      </c>
      <c r="B70" t="s">
        <v>33</v>
      </c>
      <c r="C70">
        <v>2701</v>
      </c>
      <c r="D70" t="s">
        <v>20</v>
      </c>
      <c r="E70" t="s">
        <v>21</v>
      </c>
      <c r="F70" s="1">
        <v>272298700</v>
      </c>
      <c r="G70" s="1">
        <v>79703.199999999997</v>
      </c>
      <c r="H70">
        <v>0</v>
      </c>
      <c r="I70">
        <v>0</v>
      </c>
    </row>
    <row r="71" spans="1:9" x14ac:dyDescent="0.25">
      <c r="A71">
        <v>2022</v>
      </c>
      <c r="B71" t="s">
        <v>28</v>
      </c>
      <c r="C71">
        <v>2701</v>
      </c>
      <c r="D71" t="s">
        <v>20</v>
      </c>
      <c r="E71" t="s">
        <v>21</v>
      </c>
      <c r="F71" s="1">
        <v>7781450</v>
      </c>
      <c r="G71" s="1">
        <v>2267.54</v>
      </c>
      <c r="H71">
        <v>0</v>
      </c>
      <c r="I71">
        <v>0</v>
      </c>
    </row>
    <row r="72" spans="1:9" x14ac:dyDescent="0.25">
      <c r="A72">
        <v>2023</v>
      </c>
      <c r="B72" s="19" t="s">
        <v>24</v>
      </c>
      <c r="C72">
        <v>2701</v>
      </c>
      <c r="D72" s="19" t="s">
        <v>20</v>
      </c>
      <c r="E72" t="s">
        <v>21</v>
      </c>
      <c r="F72" s="20" t="s">
        <v>103</v>
      </c>
      <c r="G72" s="20" t="s">
        <v>103</v>
      </c>
      <c r="H72" s="20" t="s">
        <v>104</v>
      </c>
      <c r="I72" s="20" t="s">
        <v>105</v>
      </c>
    </row>
    <row r="73" spans="1:9" x14ac:dyDescent="0.25">
      <c r="A73">
        <v>2023</v>
      </c>
      <c r="B73" s="19" t="s">
        <v>25</v>
      </c>
      <c r="C73">
        <v>2701</v>
      </c>
      <c r="D73" s="19" t="s">
        <v>20</v>
      </c>
      <c r="E73" t="s">
        <v>21</v>
      </c>
      <c r="F73" s="20" t="s">
        <v>106</v>
      </c>
      <c r="G73" s="20" t="s">
        <v>107</v>
      </c>
      <c r="H73" s="20" t="s">
        <v>108</v>
      </c>
      <c r="I73" s="20" t="s">
        <v>109</v>
      </c>
    </row>
    <row r="74" spans="1:9" x14ac:dyDescent="0.25">
      <c r="A74">
        <v>2023</v>
      </c>
      <c r="B74" s="19" t="s">
        <v>110</v>
      </c>
      <c r="C74">
        <v>2701</v>
      </c>
      <c r="D74" s="19" t="s">
        <v>20</v>
      </c>
      <c r="E74" t="s">
        <v>21</v>
      </c>
      <c r="F74" s="20" t="s">
        <v>103</v>
      </c>
      <c r="G74" s="20" t="s">
        <v>103</v>
      </c>
      <c r="H74" s="20" t="s">
        <v>111</v>
      </c>
      <c r="I74" s="20" t="s">
        <v>112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124-4E2F-441A-95D2-5218C8A0D708}">
  <dimension ref="A1:I22"/>
  <sheetViews>
    <sheetView workbookViewId="0">
      <selection activeCell="A21" sqref="A21:I21"/>
    </sheetView>
  </sheetViews>
  <sheetFormatPr defaultRowHeight="15" x14ac:dyDescent="0.25"/>
  <cols>
    <col min="3" max="3" width="12" bestFit="1" customWidth="1"/>
    <col min="4" max="4" width="13.140625" customWidth="1"/>
    <col min="6" max="6" width="20.42578125" bestFit="1" customWidth="1"/>
    <col min="7" max="7" width="17.28515625" bestFit="1" customWidth="1"/>
    <col min="8" max="8" width="18" bestFit="1" customWidth="1"/>
    <col min="9" max="9" width="17" bestFit="1" customWidth="1"/>
  </cols>
  <sheetData>
    <row r="1" spans="1:9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5">
      <c r="A2">
        <v>2012</v>
      </c>
      <c r="B2" t="s">
        <v>24</v>
      </c>
      <c r="C2">
        <v>2702</v>
      </c>
      <c r="D2" t="s">
        <v>36</v>
      </c>
      <c r="E2" t="s">
        <v>21</v>
      </c>
      <c r="F2" s="1">
        <v>3476</v>
      </c>
      <c r="G2">
        <v>0.28000000000000003</v>
      </c>
      <c r="H2">
        <v>0</v>
      </c>
      <c r="I2">
        <v>0</v>
      </c>
    </row>
    <row r="3" spans="1:9" x14ac:dyDescent="0.25">
      <c r="A3">
        <v>2012</v>
      </c>
      <c r="B3" t="s">
        <v>25</v>
      </c>
      <c r="C3">
        <v>2702</v>
      </c>
      <c r="D3" t="s">
        <v>36</v>
      </c>
      <c r="E3" t="s">
        <v>21</v>
      </c>
      <c r="F3" s="1">
        <v>368058550</v>
      </c>
      <c r="G3" s="1">
        <v>21377.24</v>
      </c>
      <c r="H3">
        <v>1.8</v>
      </c>
      <c r="I3">
        <v>0.22</v>
      </c>
    </row>
    <row r="4" spans="1:9" x14ac:dyDescent="0.25">
      <c r="A4">
        <v>2012</v>
      </c>
      <c r="B4" t="s">
        <v>27</v>
      </c>
      <c r="C4">
        <v>2702</v>
      </c>
      <c r="D4" t="s">
        <v>36</v>
      </c>
      <c r="E4" t="s">
        <v>21</v>
      </c>
      <c r="F4">
        <v>415</v>
      </c>
      <c r="G4">
        <v>0.01</v>
      </c>
      <c r="H4">
        <v>0</v>
      </c>
      <c r="I4">
        <v>0</v>
      </c>
    </row>
    <row r="5" spans="1:9" x14ac:dyDescent="0.25">
      <c r="A5">
        <v>2013</v>
      </c>
      <c r="B5" t="s">
        <v>24</v>
      </c>
      <c r="C5">
        <v>2702</v>
      </c>
      <c r="D5" t="s">
        <v>36</v>
      </c>
      <c r="E5" t="s">
        <v>21</v>
      </c>
      <c r="F5" s="1">
        <v>18200</v>
      </c>
      <c r="G5">
        <v>2.5299999999999998</v>
      </c>
      <c r="H5">
        <v>0</v>
      </c>
      <c r="I5">
        <v>0</v>
      </c>
    </row>
    <row r="6" spans="1:9" x14ac:dyDescent="0.25">
      <c r="A6">
        <v>2013</v>
      </c>
      <c r="B6" t="s">
        <v>25</v>
      </c>
      <c r="C6">
        <v>2702</v>
      </c>
      <c r="D6" t="s">
        <v>36</v>
      </c>
      <c r="E6" t="s">
        <v>21</v>
      </c>
      <c r="F6" s="1">
        <v>179240910</v>
      </c>
      <c r="G6" s="1">
        <v>6048.52</v>
      </c>
      <c r="H6">
        <v>0</v>
      </c>
      <c r="I6">
        <v>0</v>
      </c>
    </row>
    <row r="7" spans="1:9" x14ac:dyDescent="0.25">
      <c r="A7">
        <v>2014</v>
      </c>
      <c r="B7" t="s">
        <v>25</v>
      </c>
      <c r="C7">
        <v>2702</v>
      </c>
      <c r="D7" t="s">
        <v>36</v>
      </c>
      <c r="E7" t="s">
        <v>21</v>
      </c>
      <c r="F7" s="1">
        <v>17653120</v>
      </c>
      <c r="G7">
        <v>436.73</v>
      </c>
      <c r="H7">
        <v>0</v>
      </c>
      <c r="I7">
        <v>0</v>
      </c>
    </row>
    <row r="8" spans="1:9" x14ac:dyDescent="0.25">
      <c r="A8">
        <v>2014</v>
      </c>
      <c r="B8" t="s">
        <v>27</v>
      </c>
      <c r="C8">
        <v>2702</v>
      </c>
      <c r="D8" t="s">
        <v>36</v>
      </c>
      <c r="E8" t="s">
        <v>21</v>
      </c>
      <c r="F8">
        <v>100</v>
      </c>
      <c r="G8">
        <v>0</v>
      </c>
      <c r="H8">
        <v>0</v>
      </c>
      <c r="I8">
        <v>0</v>
      </c>
    </row>
    <row r="9" spans="1:9" x14ac:dyDescent="0.25">
      <c r="A9">
        <v>2015</v>
      </c>
      <c r="B9" t="s">
        <v>25</v>
      </c>
      <c r="C9">
        <v>2702</v>
      </c>
      <c r="D9" t="s">
        <v>36</v>
      </c>
      <c r="E9" t="s">
        <v>21</v>
      </c>
      <c r="F9" s="1">
        <v>46281300</v>
      </c>
      <c r="G9">
        <v>900.07</v>
      </c>
      <c r="H9">
        <v>0</v>
      </c>
      <c r="I9">
        <v>0</v>
      </c>
    </row>
    <row r="10" spans="1:9" x14ac:dyDescent="0.25">
      <c r="A10">
        <v>2016</v>
      </c>
      <c r="B10" t="s">
        <v>25</v>
      </c>
      <c r="C10">
        <v>2702</v>
      </c>
      <c r="D10" t="s">
        <v>36</v>
      </c>
      <c r="E10" t="s">
        <v>21</v>
      </c>
      <c r="F10" s="1">
        <v>96709520</v>
      </c>
      <c r="G10" s="1">
        <v>1314.08</v>
      </c>
      <c r="H10" s="1">
        <v>212000</v>
      </c>
      <c r="I10">
        <v>5.13</v>
      </c>
    </row>
    <row r="11" spans="1:9" x14ac:dyDescent="0.25">
      <c r="A11">
        <v>2017</v>
      </c>
      <c r="B11" t="s">
        <v>24</v>
      </c>
      <c r="C11">
        <v>2702</v>
      </c>
      <c r="D11" t="s">
        <v>36</v>
      </c>
      <c r="E11" t="s">
        <v>21</v>
      </c>
      <c r="F11" s="1">
        <v>9000</v>
      </c>
      <c r="G11">
        <v>0.05</v>
      </c>
      <c r="H11">
        <v>0</v>
      </c>
      <c r="I11">
        <v>0</v>
      </c>
    </row>
    <row r="12" spans="1:9" x14ac:dyDescent="0.25">
      <c r="A12">
        <v>2017</v>
      </c>
      <c r="B12" t="s">
        <v>25</v>
      </c>
      <c r="C12">
        <v>2702</v>
      </c>
      <c r="D12" t="s">
        <v>36</v>
      </c>
      <c r="E12" t="s">
        <v>21</v>
      </c>
      <c r="F12" s="1">
        <v>408417910</v>
      </c>
      <c r="G12" s="1">
        <v>10888.8</v>
      </c>
      <c r="H12">
        <v>0</v>
      </c>
      <c r="I12">
        <v>0</v>
      </c>
    </row>
    <row r="13" spans="1:9" x14ac:dyDescent="0.25">
      <c r="A13">
        <v>2018</v>
      </c>
      <c r="B13" t="s">
        <v>25</v>
      </c>
      <c r="C13">
        <v>2702</v>
      </c>
      <c r="D13" t="s">
        <v>36</v>
      </c>
      <c r="E13" t="s">
        <v>21</v>
      </c>
      <c r="F13" s="1">
        <v>506479880</v>
      </c>
      <c r="G13" s="1">
        <v>16291.67</v>
      </c>
      <c r="H13">
        <v>0</v>
      </c>
      <c r="I13">
        <v>0</v>
      </c>
    </row>
    <row r="14" spans="1:9" x14ac:dyDescent="0.25">
      <c r="A14">
        <v>2019</v>
      </c>
      <c r="B14" t="s">
        <v>24</v>
      </c>
      <c r="C14">
        <v>2702</v>
      </c>
      <c r="D14" t="s">
        <v>36</v>
      </c>
      <c r="E14" t="s">
        <v>21</v>
      </c>
      <c r="F14" s="1">
        <v>4000</v>
      </c>
      <c r="G14">
        <v>0.28999999999999998</v>
      </c>
      <c r="H14">
        <v>0</v>
      </c>
      <c r="I14">
        <v>0</v>
      </c>
    </row>
    <row r="15" spans="1:9" x14ac:dyDescent="0.25">
      <c r="A15">
        <v>2019</v>
      </c>
      <c r="B15" t="s">
        <v>25</v>
      </c>
      <c r="C15">
        <v>2702</v>
      </c>
      <c r="D15" t="s">
        <v>36</v>
      </c>
      <c r="E15" t="s">
        <v>21</v>
      </c>
      <c r="F15" s="1">
        <v>137306540</v>
      </c>
      <c r="G15" s="1">
        <v>4445.2</v>
      </c>
      <c r="H15" s="1">
        <v>4382470</v>
      </c>
      <c r="I15">
        <v>66.5</v>
      </c>
    </row>
    <row r="16" spans="1:9" x14ac:dyDescent="0.25">
      <c r="A16">
        <v>2019</v>
      </c>
      <c r="B16" t="s">
        <v>26</v>
      </c>
      <c r="C16">
        <v>2702</v>
      </c>
      <c r="D16" t="s">
        <v>36</v>
      </c>
      <c r="E16" t="s">
        <v>21</v>
      </c>
      <c r="F16">
        <v>0</v>
      </c>
      <c r="G16">
        <v>0</v>
      </c>
      <c r="H16">
        <v>13.47</v>
      </c>
      <c r="I16">
        <v>0.1</v>
      </c>
    </row>
    <row r="17" spans="1:9" x14ac:dyDescent="0.25">
      <c r="A17">
        <v>2020</v>
      </c>
      <c r="B17" t="s">
        <v>25</v>
      </c>
      <c r="C17">
        <v>2702</v>
      </c>
      <c r="D17" t="s">
        <v>36</v>
      </c>
      <c r="E17" t="s">
        <v>21</v>
      </c>
      <c r="F17" s="1">
        <v>89984200</v>
      </c>
      <c r="G17" s="1">
        <v>2905.26</v>
      </c>
      <c r="H17" s="1">
        <v>1022100</v>
      </c>
      <c r="I17">
        <v>16</v>
      </c>
    </row>
    <row r="18" spans="1:9" x14ac:dyDescent="0.25">
      <c r="A18">
        <v>2020</v>
      </c>
      <c r="B18" t="s">
        <v>27</v>
      </c>
      <c r="C18">
        <v>2702</v>
      </c>
      <c r="D18" t="s">
        <v>36</v>
      </c>
      <c r="E18" t="s">
        <v>21</v>
      </c>
      <c r="F18" s="1">
        <v>1500</v>
      </c>
      <c r="G18">
        <v>0.31</v>
      </c>
      <c r="H18">
        <v>0</v>
      </c>
      <c r="I18">
        <v>0</v>
      </c>
    </row>
    <row r="19" spans="1:9" x14ac:dyDescent="0.25">
      <c r="A19">
        <v>2021</v>
      </c>
      <c r="B19" t="s">
        <v>25</v>
      </c>
      <c r="C19">
        <v>2702</v>
      </c>
      <c r="D19" t="s">
        <v>36</v>
      </c>
      <c r="E19" t="s">
        <v>21</v>
      </c>
      <c r="F19" s="1">
        <v>429531360</v>
      </c>
      <c r="G19" s="1">
        <v>15516.86</v>
      </c>
      <c r="H19" s="1">
        <v>584800</v>
      </c>
      <c r="I19">
        <v>12.69</v>
      </c>
    </row>
    <row r="20" spans="1:9" ht="15.75" thickBot="1" x14ac:dyDescent="0.3">
      <c r="A20">
        <v>2021</v>
      </c>
      <c r="B20" t="s">
        <v>26</v>
      </c>
      <c r="C20">
        <v>2702</v>
      </c>
      <c r="D20" t="s">
        <v>36</v>
      </c>
      <c r="E20" t="s">
        <v>21</v>
      </c>
      <c r="F20" s="1">
        <v>20000</v>
      </c>
      <c r="G20">
        <v>0.88</v>
      </c>
      <c r="H20">
        <v>0</v>
      </c>
      <c r="I20">
        <v>0</v>
      </c>
    </row>
    <row r="21" spans="1:9" ht="17.25" thickBot="1" x14ac:dyDescent="0.3">
      <c r="A21">
        <v>2023</v>
      </c>
      <c r="B21" t="s">
        <v>25</v>
      </c>
      <c r="C21">
        <v>2702</v>
      </c>
      <c r="D21" t="s">
        <v>36</v>
      </c>
      <c r="E21" t="s">
        <v>21</v>
      </c>
      <c r="F21" s="21">
        <v>2906396110</v>
      </c>
      <c r="G21" s="22">
        <v>134127.64000000001</v>
      </c>
      <c r="H21" s="22">
        <v>11354887</v>
      </c>
      <c r="I21" s="22">
        <v>716.14</v>
      </c>
    </row>
    <row r="22" spans="1:9" ht="17.25" thickBot="1" x14ac:dyDescent="0.3">
      <c r="A22">
        <v>2022</v>
      </c>
      <c r="B22" t="s">
        <v>25</v>
      </c>
      <c r="C22">
        <v>2702</v>
      </c>
      <c r="D22" t="s">
        <v>36</v>
      </c>
      <c r="E22" t="s">
        <v>21</v>
      </c>
      <c r="F22" s="23">
        <v>127901740</v>
      </c>
      <c r="G22" s="24">
        <v>7648.94</v>
      </c>
      <c r="H22" s="24">
        <v>13812019</v>
      </c>
      <c r="I22" s="25">
        <v>558.55999999999995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E605-10EC-4FC1-BA23-94F96BB18717}">
  <dimension ref="A1:O98"/>
  <sheetViews>
    <sheetView topLeftCell="A82" workbookViewId="0">
      <selection activeCell="F98" sqref="F98"/>
    </sheetView>
  </sheetViews>
  <sheetFormatPr defaultRowHeight="15" x14ac:dyDescent="0.25"/>
  <cols>
    <col min="2" max="2" width="25.5703125" bestFit="1" customWidth="1"/>
    <col min="3" max="3" width="14" customWidth="1"/>
    <col min="4" max="4" width="23.7109375" customWidth="1"/>
    <col min="6" max="6" width="19.85546875" customWidth="1"/>
    <col min="7" max="7" width="18.85546875" customWidth="1"/>
    <col min="8" max="8" width="19.7109375" customWidth="1"/>
    <col min="9" max="9" width="18.7109375" customWidth="1"/>
    <col min="10" max="10" width="19.42578125" customWidth="1"/>
    <col min="11" max="11" width="22" customWidth="1"/>
    <col min="12" max="12" width="22.140625" customWidth="1"/>
    <col min="13" max="13" width="12.5703125" customWidth="1"/>
    <col min="14" max="14" width="11.140625" customWidth="1"/>
    <col min="15" max="15" width="15.140625" customWidth="1"/>
  </cols>
  <sheetData>
    <row r="1" spans="1:15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</row>
    <row r="2" spans="1:15" x14ac:dyDescent="0.25">
      <c r="A2">
        <v>2012</v>
      </c>
      <c r="B2" t="s">
        <v>19</v>
      </c>
      <c r="C2" s="6">
        <v>2701</v>
      </c>
      <c r="D2" t="s">
        <v>20</v>
      </c>
      <c r="E2" t="s">
        <v>21</v>
      </c>
      <c r="F2" s="7">
        <v>7160</v>
      </c>
      <c r="G2" s="7">
        <v>0.73</v>
      </c>
      <c r="H2" s="7">
        <v>175.2</v>
      </c>
      <c r="I2" s="7">
        <v>15.21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</row>
    <row r="3" spans="1:15" x14ac:dyDescent="0.25">
      <c r="A3">
        <v>2012</v>
      </c>
      <c r="B3" t="s">
        <v>22</v>
      </c>
      <c r="C3" s="6">
        <v>2701</v>
      </c>
      <c r="D3" t="s">
        <v>20</v>
      </c>
      <c r="E3" t="s">
        <v>21</v>
      </c>
      <c r="F3" s="7">
        <v>0</v>
      </c>
      <c r="G3" s="7">
        <v>0</v>
      </c>
      <c r="H3" s="7">
        <v>14.8</v>
      </c>
      <c r="I3" s="7">
        <v>0.72</v>
      </c>
      <c r="J3" t="s">
        <v>57</v>
      </c>
      <c r="K3" t="s">
        <v>57</v>
      </c>
      <c r="L3" t="s">
        <v>58</v>
      </c>
      <c r="M3" t="s">
        <v>54</v>
      </c>
      <c r="N3" t="s">
        <v>55</v>
      </c>
      <c r="O3" t="s">
        <v>56</v>
      </c>
    </row>
    <row r="4" spans="1:15" x14ac:dyDescent="0.25">
      <c r="A4">
        <v>2012</v>
      </c>
      <c r="B4" t="s">
        <v>23</v>
      </c>
      <c r="C4" s="6">
        <v>2701</v>
      </c>
      <c r="D4" t="s">
        <v>20</v>
      </c>
      <c r="E4" t="s">
        <v>21</v>
      </c>
      <c r="F4" s="7">
        <v>0</v>
      </c>
      <c r="G4" s="7">
        <v>0</v>
      </c>
      <c r="H4" s="7">
        <v>1400</v>
      </c>
      <c r="I4" s="7">
        <v>4.1900000000000004</v>
      </c>
      <c r="J4" t="s">
        <v>59</v>
      </c>
      <c r="K4" t="s">
        <v>59</v>
      </c>
      <c r="L4" t="s">
        <v>60</v>
      </c>
      <c r="M4" t="s">
        <v>54</v>
      </c>
      <c r="N4" t="s">
        <v>55</v>
      </c>
      <c r="O4" t="s">
        <v>56</v>
      </c>
    </row>
    <row r="5" spans="1:15" x14ac:dyDescent="0.25">
      <c r="A5">
        <v>2012</v>
      </c>
      <c r="B5" t="s">
        <v>24</v>
      </c>
      <c r="C5" s="6">
        <v>2701</v>
      </c>
      <c r="D5" t="s">
        <v>20</v>
      </c>
      <c r="E5" t="s">
        <v>21</v>
      </c>
      <c r="F5" s="7">
        <v>0</v>
      </c>
      <c r="G5" s="7">
        <v>0</v>
      </c>
      <c r="H5" s="7">
        <v>1303</v>
      </c>
      <c r="I5" s="7">
        <v>1.91</v>
      </c>
      <c r="J5" t="s">
        <v>61</v>
      </c>
      <c r="K5" t="s">
        <v>62</v>
      </c>
      <c r="L5" t="s">
        <v>24</v>
      </c>
      <c r="M5" t="s">
        <v>54</v>
      </c>
      <c r="N5" t="s">
        <v>55</v>
      </c>
      <c r="O5" t="s">
        <v>56</v>
      </c>
    </row>
    <row r="6" spans="1:15" x14ac:dyDescent="0.25">
      <c r="A6">
        <v>2012</v>
      </c>
      <c r="B6" t="s">
        <v>25</v>
      </c>
      <c r="C6" s="6">
        <v>2701</v>
      </c>
      <c r="D6" t="s">
        <v>20</v>
      </c>
      <c r="E6" t="s">
        <v>21</v>
      </c>
      <c r="F6" s="7">
        <v>20520066065.150002</v>
      </c>
      <c r="G6" s="7">
        <v>1874893.31</v>
      </c>
      <c r="H6" s="7">
        <v>253781.6</v>
      </c>
      <c r="I6" s="7">
        <v>91.05</v>
      </c>
      <c r="J6" t="s">
        <v>63</v>
      </c>
      <c r="K6" t="s">
        <v>64</v>
      </c>
      <c r="L6" t="s">
        <v>65</v>
      </c>
      <c r="M6" t="s">
        <v>54</v>
      </c>
      <c r="N6" t="s">
        <v>55</v>
      </c>
      <c r="O6" t="s">
        <v>56</v>
      </c>
    </row>
    <row r="7" spans="1:15" x14ac:dyDescent="0.25">
      <c r="A7">
        <v>2012</v>
      </c>
      <c r="B7" t="s">
        <v>26</v>
      </c>
      <c r="C7" s="6">
        <v>2701</v>
      </c>
      <c r="D7" t="s">
        <v>20</v>
      </c>
      <c r="E7" t="s">
        <v>21</v>
      </c>
      <c r="F7" s="7">
        <v>2736610</v>
      </c>
      <c r="G7" s="7">
        <v>187.68</v>
      </c>
      <c r="H7" s="7">
        <v>0</v>
      </c>
      <c r="I7" s="7">
        <v>0</v>
      </c>
      <c r="J7" t="s">
        <v>66</v>
      </c>
      <c r="K7" t="s">
        <v>67</v>
      </c>
      <c r="L7" t="s">
        <v>26</v>
      </c>
      <c r="M7" t="s">
        <v>54</v>
      </c>
      <c r="N7" t="s">
        <v>55</v>
      </c>
      <c r="O7" t="s">
        <v>56</v>
      </c>
    </row>
    <row r="8" spans="1:15" x14ac:dyDescent="0.25">
      <c r="A8">
        <v>2012</v>
      </c>
      <c r="B8" t="s">
        <v>27</v>
      </c>
      <c r="C8" s="6">
        <v>2701</v>
      </c>
      <c r="D8" t="s">
        <v>20</v>
      </c>
      <c r="E8" t="s">
        <v>21</v>
      </c>
      <c r="F8" s="7">
        <v>0</v>
      </c>
      <c r="G8" s="7">
        <v>0</v>
      </c>
      <c r="H8" s="7">
        <v>0.05</v>
      </c>
      <c r="I8" s="7">
        <v>0.05</v>
      </c>
      <c r="J8" t="s">
        <v>68</v>
      </c>
      <c r="K8" t="s">
        <v>69</v>
      </c>
      <c r="L8" t="s">
        <v>70</v>
      </c>
      <c r="M8" t="s">
        <v>54</v>
      </c>
      <c r="N8" t="s">
        <v>55</v>
      </c>
      <c r="O8" t="s">
        <v>56</v>
      </c>
    </row>
    <row r="9" spans="1:15" x14ac:dyDescent="0.25">
      <c r="A9">
        <v>2012</v>
      </c>
      <c r="B9" t="s">
        <v>28</v>
      </c>
      <c r="C9" s="6">
        <v>2701</v>
      </c>
      <c r="D9" t="s">
        <v>20</v>
      </c>
      <c r="E9" t="s">
        <v>21</v>
      </c>
      <c r="F9" s="7">
        <v>1299050</v>
      </c>
      <c r="G9" s="7">
        <v>71.16</v>
      </c>
      <c r="H9" s="7">
        <v>0</v>
      </c>
      <c r="I9" s="7">
        <v>0</v>
      </c>
      <c r="J9" t="s">
        <v>71</v>
      </c>
      <c r="K9" t="s">
        <v>72</v>
      </c>
      <c r="L9" t="s">
        <v>73</v>
      </c>
      <c r="M9" t="s">
        <v>54</v>
      </c>
      <c r="N9" t="s">
        <v>55</v>
      </c>
      <c r="O9" t="s">
        <v>56</v>
      </c>
    </row>
    <row r="10" spans="1:15" x14ac:dyDescent="0.25">
      <c r="A10">
        <v>2012</v>
      </c>
      <c r="B10" t="s">
        <v>29</v>
      </c>
      <c r="C10" s="6">
        <v>2701</v>
      </c>
      <c r="D10" t="s">
        <v>20</v>
      </c>
      <c r="E10" t="s">
        <v>21</v>
      </c>
      <c r="F10" s="7">
        <v>23302730</v>
      </c>
      <c r="G10" s="7">
        <v>5243.11</v>
      </c>
      <c r="H10" s="7">
        <v>0</v>
      </c>
      <c r="I10" s="7">
        <v>0</v>
      </c>
      <c r="J10" t="s">
        <v>74</v>
      </c>
      <c r="K10" t="s">
        <v>75</v>
      </c>
      <c r="L10" t="s">
        <v>76</v>
      </c>
      <c r="M10" t="s">
        <v>54</v>
      </c>
      <c r="N10" t="s">
        <v>55</v>
      </c>
      <c r="O10" t="s">
        <v>56</v>
      </c>
    </row>
    <row r="11" spans="1:15" x14ac:dyDescent="0.25">
      <c r="A11">
        <v>2012</v>
      </c>
      <c r="B11" t="s">
        <v>30</v>
      </c>
      <c r="C11" s="6">
        <v>2701</v>
      </c>
      <c r="D11" t="s">
        <v>20</v>
      </c>
      <c r="E11" t="s">
        <v>21</v>
      </c>
      <c r="F11" s="7">
        <v>0</v>
      </c>
      <c r="G11" s="7">
        <v>0</v>
      </c>
      <c r="H11" s="7">
        <v>19</v>
      </c>
      <c r="I11" s="7">
        <v>0.35</v>
      </c>
      <c r="J11" t="s">
        <v>77</v>
      </c>
      <c r="K11" t="s">
        <v>78</v>
      </c>
      <c r="L11" t="s">
        <v>79</v>
      </c>
      <c r="M11" t="s">
        <v>54</v>
      </c>
      <c r="N11" t="s">
        <v>55</v>
      </c>
      <c r="O11" t="s">
        <v>56</v>
      </c>
    </row>
    <row r="12" spans="1:15" x14ac:dyDescent="0.25">
      <c r="A12">
        <v>2012</v>
      </c>
      <c r="B12" t="s">
        <v>24</v>
      </c>
      <c r="C12" s="6">
        <v>2702</v>
      </c>
      <c r="D12" t="s">
        <v>36</v>
      </c>
      <c r="E12" t="s">
        <v>21</v>
      </c>
      <c r="F12" s="7">
        <v>3476</v>
      </c>
      <c r="G12" s="7">
        <v>0.28000000000000003</v>
      </c>
      <c r="H12" s="7">
        <v>0</v>
      </c>
      <c r="I12" s="7">
        <v>0</v>
      </c>
      <c r="J12" t="s">
        <v>61</v>
      </c>
      <c r="K12" t="s">
        <v>62</v>
      </c>
      <c r="L12" t="s">
        <v>24</v>
      </c>
      <c r="M12" t="s">
        <v>54</v>
      </c>
      <c r="N12" t="s">
        <v>55</v>
      </c>
      <c r="O12" t="s">
        <v>80</v>
      </c>
    </row>
    <row r="13" spans="1:15" x14ac:dyDescent="0.25">
      <c r="A13">
        <v>2012</v>
      </c>
      <c r="B13" t="s">
        <v>25</v>
      </c>
      <c r="C13" s="6">
        <v>2702</v>
      </c>
      <c r="D13" t="s">
        <v>36</v>
      </c>
      <c r="E13" t="s">
        <v>21</v>
      </c>
      <c r="F13" s="7">
        <v>368058550</v>
      </c>
      <c r="G13" s="7">
        <v>21377.24</v>
      </c>
      <c r="H13" s="7">
        <v>1.8</v>
      </c>
      <c r="I13" s="7">
        <v>0.22</v>
      </c>
      <c r="J13" t="s">
        <v>63</v>
      </c>
      <c r="K13" t="s">
        <v>64</v>
      </c>
      <c r="L13" t="s">
        <v>65</v>
      </c>
      <c r="M13" t="s">
        <v>54</v>
      </c>
      <c r="N13" t="s">
        <v>55</v>
      </c>
      <c r="O13" t="s">
        <v>80</v>
      </c>
    </row>
    <row r="14" spans="1:15" x14ac:dyDescent="0.25">
      <c r="A14">
        <v>2012</v>
      </c>
      <c r="B14" t="s">
        <v>27</v>
      </c>
      <c r="C14" s="6">
        <v>2702</v>
      </c>
      <c r="D14" t="s">
        <v>36</v>
      </c>
      <c r="E14" t="s">
        <v>21</v>
      </c>
      <c r="F14" s="7">
        <v>415</v>
      </c>
      <c r="G14" s="7">
        <v>0.01</v>
      </c>
      <c r="H14" s="7">
        <v>0</v>
      </c>
      <c r="I14" s="7">
        <v>0</v>
      </c>
      <c r="J14" t="s">
        <v>68</v>
      </c>
      <c r="K14" t="s">
        <v>69</v>
      </c>
      <c r="L14" t="s">
        <v>70</v>
      </c>
      <c r="M14" t="s">
        <v>54</v>
      </c>
      <c r="N14" t="s">
        <v>55</v>
      </c>
      <c r="O14" t="s">
        <v>80</v>
      </c>
    </row>
    <row r="15" spans="1:15" x14ac:dyDescent="0.25">
      <c r="A15">
        <v>2013</v>
      </c>
      <c r="B15" t="s">
        <v>19</v>
      </c>
      <c r="C15" s="6">
        <v>2701</v>
      </c>
      <c r="D15" t="s">
        <v>20</v>
      </c>
      <c r="E15" t="s">
        <v>21</v>
      </c>
      <c r="F15" s="7">
        <v>0</v>
      </c>
      <c r="G15" s="7">
        <v>0</v>
      </c>
      <c r="H15" s="7">
        <v>30.47</v>
      </c>
      <c r="I15" s="7">
        <v>2.85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 spans="1:15" x14ac:dyDescent="0.25">
      <c r="A16">
        <v>2013</v>
      </c>
      <c r="B16" t="s">
        <v>22</v>
      </c>
      <c r="C16" s="6">
        <v>2701</v>
      </c>
      <c r="D16" t="s">
        <v>20</v>
      </c>
      <c r="E16" t="s">
        <v>21</v>
      </c>
      <c r="F16" s="7">
        <v>0</v>
      </c>
      <c r="G16" s="7">
        <v>0</v>
      </c>
      <c r="H16" s="7">
        <v>15.21</v>
      </c>
      <c r="I16" s="7">
        <v>1.75</v>
      </c>
      <c r="J16" t="s">
        <v>57</v>
      </c>
      <c r="K16" t="s">
        <v>57</v>
      </c>
      <c r="L16" t="s">
        <v>58</v>
      </c>
      <c r="M16" t="s">
        <v>54</v>
      </c>
      <c r="N16" t="s">
        <v>55</v>
      </c>
      <c r="O16" t="s">
        <v>56</v>
      </c>
    </row>
    <row r="17" spans="1:15" x14ac:dyDescent="0.25">
      <c r="A17">
        <v>2013</v>
      </c>
      <c r="B17" t="s">
        <v>24</v>
      </c>
      <c r="C17" s="6">
        <v>2701</v>
      </c>
      <c r="D17" t="s">
        <v>20</v>
      </c>
      <c r="E17" t="s">
        <v>21</v>
      </c>
      <c r="F17" s="7">
        <v>0</v>
      </c>
      <c r="G17" s="7">
        <v>0</v>
      </c>
      <c r="H17" s="7">
        <v>3291.7</v>
      </c>
      <c r="I17" s="7">
        <v>5.48</v>
      </c>
      <c r="J17" t="s">
        <v>61</v>
      </c>
      <c r="K17" t="s">
        <v>62</v>
      </c>
      <c r="L17" t="s">
        <v>24</v>
      </c>
      <c r="M17" t="s">
        <v>54</v>
      </c>
      <c r="N17" t="s">
        <v>55</v>
      </c>
      <c r="O17" t="s">
        <v>56</v>
      </c>
    </row>
    <row r="18" spans="1:15" x14ac:dyDescent="0.25">
      <c r="A18">
        <v>2013</v>
      </c>
      <c r="B18" t="s">
        <v>25</v>
      </c>
      <c r="C18" s="6">
        <v>2701</v>
      </c>
      <c r="D18" t="s">
        <v>20</v>
      </c>
      <c r="E18" t="s">
        <v>21</v>
      </c>
      <c r="F18" s="7">
        <v>18193264594.150002</v>
      </c>
      <c r="G18" s="7">
        <v>1116114.06</v>
      </c>
      <c r="H18" s="7">
        <v>728916.68</v>
      </c>
      <c r="I18" s="7">
        <v>223.4</v>
      </c>
      <c r="J18" t="s">
        <v>63</v>
      </c>
      <c r="K18" t="s">
        <v>64</v>
      </c>
      <c r="L18" t="s">
        <v>65</v>
      </c>
      <c r="M18" t="s">
        <v>54</v>
      </c>
      <c r="N18" t="s">
        <v>55</v>
      </c>
      <c r="O18" t="s">
        <v>56</v>
      </c>
    </row>
    <row r="19" spans="1:15" x14ac:dyDescent="0.25">
      <c r="A19">
        <v>2013</v>
      </c>
      <c r="B19" t="s">
        <v>26</v>
      </c>
      <c r="C19" s="6">
        <v>2701</v>
      </c>
      <c r="D19" t="s">
        <v>20</v>
      </c>
      <c r="E19" t="s">
        <v>21</v>
      </c>
      <c r="F19" s="7">
        <v>584000</v>
      </c>
      <c r="G19" s="7">
        <v>38.950000000000003</v>
      </c>
      <c r="H19" s="7">
        <v>0</v>
      </c>
      <c r="I19" s="7">
        <v>0</v>
      </c>
      <c r="J19" t="s">
        <v>66</v>
      </c>
      <c r="K19" t="s">
        <v>67</v>
      </c>
      <c r="L19" t="s">
        <v>26</v>
      </c>
      <c r="M19" t="s">
        <v>54</v>
      </c>
      <c r="N19" t="s">
        <v>55</v>
      </c>
      <c r="O19" t="s">
        <v>56</v>
      </c>
    </row>
    <row r="20" spans="1:15" x14ac:dyDescent="0.25">
      <c r="A20">
        <v>2013</v>
      </c>
      <c r="B20" t="s">
        <v>27</v>
      </c>
      <c r="C20" s="6">
        <v>2701</v>
      </c>
      <c r="D20" t="s">
        <v>20</v>
      </c>
      <c r="E20" t="s">
        <v>21</v>
      </c>
      <c r="F20" s="7">
        <v>0</v>
      </c>
      <c r="G20" s="7">
        <v>0</v>
      </c>
      <c r="H20" s="7">
        <v>0.32</v>
      </c>
      <c r="I20" s="7">
        <v>0.28000000000000003</v>
      </c>
      <c r="J20" t="s">
        <v>68</v>
      </c>
      <c r="K20" t="s">
        <v>69</v>
      </c>
      <c r="L20" t="s">
        <v>70</v>
      </c>
      <c r="M20" t="s">
        <v>54</v>
      </c>
      <c r="N20" t="s">
        <v>55</v>
      </c>
      <c r="O20" t="s">
        <v>56</v>
      </c>
    </row>
    <row r="21" spans="1:15" x14ac:dyDescent="0.25">
      <c r="A21">
        <v>2013</v>
      </c>
      <c r="B21" t="s">
        <v>24</v>
      </c>
      <c r="C21" s="6">
        <v>2702</v>
      </c>
      <c r="D21" t="s">
        <v>36</v>
      </c>
      <c r="E21" t="s">
        <v>21</v>
      </c>
      <c r="F21" s="7">
        <v>18200</v>
      </c>
      <c r="G21" s="7">
        <v>2.5299999999999998</v>
      </c>
      <c r="H21" s="7">
        <v>0</v>
      </c>
      <c r="I21" s="7">
        <v>0</v>
      </c>
      <c r="J21" t="s">
        <v>61</v>
      </c>
      <c r="K21" t="s">
        <v>62</v>
      </c>
      <c r="L21" t="s">
        <v>24</v>
      </c>
      <c r="M21" t="s">
        <v>54</v>
      </c>
      <c r="N21" t="s">
        <v>55</v>
      </c>
      <c r="O21" t="s">
        <v>80</v>
      </c>
    </row>
    <row r="22" spans="1:15" x14ac:dyDescent="0.25">
      <c r="A22">
        <v>2013</v>
      </c>
      <c r="B22" t="s">
        <v>25</v>
      </c>
      <c r="C22" s="6">
        <v>2702</v>
      </c>
      <c r="D22" t="s">
        <v>36</v>
      </c>
      <c r="E22" t="s">
        <v>21</v>
      </c>
      <c r="F22" s="7">
        <v>179240910</v>
      </c>
      <c r="G22" s="7">
        <v>6048.52</v>
      </c>
      <c r="H22" s="7">
        <v>0</v>
      </c>
      <c r="I22" s="7">
        <v>0</v>
      </c>
      <c r="J22" t="s">
        <v>63</v>
      </c>
      <c r="K22" t="s">
        <v>64</v>
      </c>
      <c r="L22" t="s">
        <v>65</v>
      </c>
      <c r="M22" t="s">
        <v>54</v>
      </c>
      <c r="N22" t="s">
        <v>55</v>
      </c>
      <c r="O22" t="s">
        <v>80</v>
      </c>
    </row>
    <row r="23" spans="1:15" x14ac:dyDescent="0.25">
      <c r="A23">
        <v>2014</v>
      </c>
      <c r="B23" t="s">
        <v>19</v>
      </c>
      <c r="C23" s="6">
        <v>2701</v>
      </c>
      <c r="D23" t="s">
        <v>20</v>
      </c>
      <c r="E23" t="s">
        <v>21</v>
      </c>
      <c r="F23" s="7">
        <v>0</v>
      </c>
      <c r="G23" s="7">
        <v>0</v>
      </c>
      <c r="H23" s="7">
        <v>2613</v>
      </c>
      <c r="I23" s="7">
        <v>5.52</v>
      </c>
      <c r="J23" t="s">
        <v>51</v>
      </c>
      <c r="K23" t="s">
        <v>52</v>
      </c>
      <c r="L23" t="s">
        <v>53</v>
      </c>
      <c r="M23" t="s">
        <v>54</v>
      </c>
      <c r="N23" t="s">
        <v>55</v>
      </c>
      <c r="O23" t="s">
        <v>56</v>
      </c>
    </row>
    <row r="24" spans="1:15" x14ac:dyDescent="0.25">
      <c r="A24">
        <v>2014</v>
      </c>
      <c r="B24" t="s">
        <v>22</v>
      </c>
      <c r="C24" s="6">
        <v>2701</v>
      </c>
      <c r="D24" t="s">
        <v>20</v>
      </c>
      <c r="E24" t="s">
        <v>21</v>
      </c>
      <c r="F24" s="7">
        <v>0</v>
      </c>
      <c r="G24" s="7">
        <v>0</v>
      </c>
      <c r="H24" s="7">
        <v>56.02</v>
      </c>
      <c r="I24" s="7">
        <v>2.86</v>
      </c>
      <c r="J24" t="s">
        <v>57</v>
      </c>
      <c r="K24" t="s">
        <v>57</v>
      </c>
      <c r="L24" t="s">
        <v>58</v>
      </c>
      <c r="M24" t="s">
        <v>54</v>
      </c>
      <c r="N24" t="s">
        <v>55</v>
      </c>
      <c r="O24" t="s">
        <v>56</v>
      </c>
    </row>
    <row r="25" spans="1:15" x14ac:dyDescent="0.25">
      <c r="A25">
        <v>2014</v>
      </c>
      <c r="B25" t="s">
        <v>24</v>
      </c>
      <c r="C25" s="6">
        <v>2701</v>
      </c>
      <c r="D25" t="s">
        <v>20</v>
      </c>
      <c r="E25" t="s">
        <v>21</v>
      </c>
      <c r="F25" s="7">
        <v>36240</v>
      </c>
      <c r="G25" s="7">
        <v>3.61</v>
      </c>
      <c r="H25" s="7">
        <v>933</v>
      </c>
      <c r="I25" s="7">
        <v>1.97</v>
      </c>
      <c r="J25" t="s">
        <v>61</v>
      </c>
      <c r="K25" t="s">
        <v>62</v>
      </c>
      <c r="L25" t="s">
        <v>24</v>
      </c>
      <c r="M25" t="s">
        <v>54</v>
      </c>
      <c r="N25" t="s">
        <v>55</v>
      </c>
      <c r="O25" t="s">
        <v>56</v>
      </c>
    </row>
    <row r="26" spans="1:15" x14ac:dyDescent="0.25">
      <c r="A26">
        <v>2014</v>
      </c>
      <c r="B26" t="s">
        <v>25</v>
      </c>
      <c r="C26" s="6">
        <v>2701</v>
      </c>
      <c r="D26" t="s">
        <v>20</v>
      </c>
      <c r="E26" t="s">
        <v>21</v>
      </c>
      <c r="F26" s="7">
        <v>19461343218.900002</v>
      </c>
      <c r="G26" s="7">
        <v>847180.54</v>
      </c>
      <c r="H26" s="7">
        <v>1377832</v>
      </c>
      <c r="I26" s="7">
        <v>113.3</v>
      </c>
      <c r="J26" t="s">
        <v>63</v>
      </c>
      <c r="K26" t="s">
        <v>64</v>
      </c>
      <c r="L26" t="s">
        <v>65</v>
      </c>
      <c r="M26" t="s">
        <v>54</v>
      </c>
      <c r="N26" t="s">
        <v>55</v>
      </c>
      <c r="O26" t="s">
        <v>56</v>
      </c>
    </row>
    <row r="27" spans="1:15" x14ac:dyDescent="0.25">
      <c r="A27">
        <v>2014</v>
      </c>
      <c r="B27" t="s">
        <v>31</v>
      </c>
      <c r="C27" s="6">
        <v>2701</v>
      </c>
      <c r="D27" t="s">
        <v>20</v>
      </c>
      <c r="E27" t="s">
        <v>21</v>
      </c>
      <c r="F27" s="7">
        <v>0</v>
      </c>
      <c r="G27" s="7">
        <v>0</v>
      </c>
      <c r="H27" s="7">
        <v>9.9</v>
      </c>
      <c r="I27" s="7">
        <v>0.5</v>
      </c>
      <c r="J27" t="s">
        <v>81</v>
      </c>
      <c r="K27" t="s">
        <v>82</v>
      </c>
      <c r="L27" t="s">
        <v>83</v>
      </c>
      <c r="M27" t="s">
        <v>54</v>
      </c>
      <c r="N27" t="s">
        <v>55</v>
      </c>
      <c r="O27" t="s">
        <v>56</v>
      </c>
    </row>
    <row r="28" spans="1:15" x14ac:dyDescent="0.25">
      <c r="A28">
        <v>2014</v>
      </c>
      <c r="B28" t="s">
        <v>26</v>
      </c>
      <c r="C28" s="6">
        <v>2701</v>
      </c>
      <c r="D28" t="s">
        <v>20</v>
      </c>
      <c r="E28" t="s">
        <v>21</v>
      </c>
      <c r="F28" s="7">
        <v>19937330</v>
      </c>
      <c r="G28" s="7">
        <v>1418.63</v>
      </c>
      <c r="H28" s="7">
        <v>0</v>
      </c>
      <c r="I28" s="7">
        <v>0</v>
      </c>
      <c r="J28" t="s">
        <v>66</v>
      </c>
      <c r="K28" t="s">
        <v>67</v>
      </c>
      <c r="L28" t="s">
        <v>26</v>
      </c>
      <c r="M28" t="s">
        <v>54</v>
      </c>
      <c r="N28" t="s">
        <v>55</v>
      </c>
      <c r="O28" t="s">
        <v>56</v>
      </c>
    </row>
    <row r="29" spans="1:15" x14ac:dyDescent="0.25">
      <c r="A29">
        <v>2014</v>
      </c>
      <c r="B29" t="s">
        <v>27</v>
      </c>
      <c r="C29" s="6">
        <v>2701</v>
      </c>
      <c r="D29" t="s">
        <v>20</v>
      </c>
      <c r="E29" t="s">
        <v>21</v>
      </c>
      <c r="F29" s="7">
        <v>1000</v>
      </c>
      <c r="G29" s="7">
        <v>0.02</v>
      </c>
      <c r="H29" s="7">
        <v>804</v>
      </c>
      <c r="I29" s="7">
        <v>2.4700000000000002</v>
      </c>
      <c r="J29" t="s">
        <v>68</v>
      </c>
      <c r="K29" t="s">
        <v>69</v>
      </c>
      <c r="L29" t="s">
        <v>70</v>
      </c>
      <c r="M29" t="s">
        <v>54</v>
      </c>
      <c r="N29" t="s">
        <v>55</v>
      </c>
      <c r="O29" t="s">
        <v>56</v>
      </c>
    </row>
    <row r="30" spans="1:15" x14ac:dyDescent="0.25">
      <c r="A30">
        <v>2014</v>
      </c>
      <c r="B30" t="s">
        <v>25</v>
      </c>
      <c r="C30" s="6">
        <v>2702</v>
      </c>
      <c r="D30" t="s">
        <v>36</v>
      </c>
      <c r="E30" t="s">
        <v>21</v>
      </c>
      <c r="F30" s="7">
        <v>17653120</v>
      </c>
      <c r="G30" s="7">
        <v>436.73</v>
      </c>
      <c r="H30" s="7">
        <v>0</v>
      </c>
      <c r="I30" s="7">
        <v>0</v>
      </c>
      <c r="J30" t="s">
        <v>63</v>
      </c>
      <c r="K30" t="s">
        <v>64</v>
      </c>
      <c r="L30" t="s">
        <v>65</v>
      </c>
      <c r="M30" t="s">
        <v>54</v>
      </c>
      <c r="N30" t="s">
        <v>55</v>
      </c>
      <c r="O30" t="s">
        <v>80</v>
      </c>
    </row>
    <row r="31" spans="1:15" x14ac:dyDescent="0.25">
      <c r="A31">
        <v>2014</v>
      </c>
      <c r="B31" t="s">
        <v>27</v>
      </c>
      <c r="C31" s="6">
        <v>2702</v>
      </c>
      <c r="D31" t="s">
        <v>36</v>
      </c>
      <c r="E31" t="s">
        <v>21</v>
      </c>
      <c r="F31" s="7">
        <v>100</v>
      </c>
      <c r="G31" s="7">
        <v>0</v>
      </c>
      <c r="H31" s="7">
        <v>0</v>
      </c>
      <c r="I31" s="7">
        <v>0</v>
      </c>
      <c r="J31" t="s">
        <v>68</v>
      </c>
      <c r="K31" t="s">
        <v>69</v>
      </c>
      <c r="L31" t="s">
        <v>70</v>
      </c>
      <c r="M31" t="s">
        <v>54</v>
      </c>
      <c r="N31" t="s">
        <v>55</v>
      </c>
      <c r="O31" t="s">
        <v>80</v>
      </c>
    </row>
    <row r="32" spans="1:15" x14ac:dyDescent="0.25">
      <c r="A32">
        <v>2015</v>
      </c>
      <c r="B32" t="s">
        <v>19</v>
      </c>
      <c r="C32" s="6">
        <v>2701</v>
      </c>
      <c r="D32" t="s">
        <v>20</v>
      </c>
      <c r="E32" t="s">
        <v>21</v>
      </c>
      <c r="F32" s="7">
        <v>0</v>
      </c>
      <c r="G32" s="7">
        <v>0</v>
      </c>
      <c r="H32" s="7">
        <v>1.4</v>
      </c>
      <c r="I32" s="7">
        <v>0.41</v>
      </c>
      <c r="J32" t="s">
        <v>51</v>
      </c>
      <c r="K32" t="s">
        <v>52</v>
      </c>
      <c r="L32" t="s">
        <v>53</v>
      </c>
      <c r="M32" t="s">
        <v>54</v>
      </c>
      <c r="N32" t="s">
        <v>55</v>
      </c>
      <c r="O32" t="s">
        <v>56</v>
      </c>
    </row>
    <row r="33" spans="1:15" x14ac:dyDescent="0.25">
      <c r="A33">
        <v>2015</v>
      </c>
      <c r="B33" t="s">
        <v>22</v>
      </c>
      <c r="C33" s="6">
        <v>2701</v>
      </c>
      <c r="D33" t="s">
        <v>20</v>
      </c>
      <c r="E33" t="s">
        <v>21</v>
      </c>
      <c r="F33" s="7">
        <v>0</v>
      </c>
      <c r="G33" s="7">
        <v>0</v>
      </c>
      <c r="H33" s="7">
        <v>5.4</v>
      </c>
      <c r="I33" s="7">
        <v>0.16</v>
      </c>
      <c r="J33" t="s">
        <v>57</v>
      </c>
      <c r="K33" t="s">
        <v>57</v>
      </c>
      <c r="L33" t="s">
        <v>58</v>
      </c>
      <c r="M33" t="s">
        <v>54</v>
      </c>
      <c r="N33" t="s">
        <v>55</v>
      </c>
      <c r="O33" t="s">
        <v>56</v>
      </c>
    </row>
    <row r="34" spans="1:15" x14ac:dyDescent="0.25">
      <c r="A34">
        <v>2015</v>
      </c>
      <c r="B34" t="s">
        <v>24</v>
      </c>
      <c r="C34" s="6">
        <v>2701</v>
      </c>
      <c r="D34" t="s">
        <v>20</v>
      </c>
      <c r="E34" t="s">
        <v>21</v>
      </c>
      <c r="F34" s="7">
        <v>1092940</v>
      </c>
      <c r="G34" s="7">
        <v>90.15</v>
      </c>
      <c r="H34" s="7">
        <v>233</v>
      </c>
      <c r="I34" s="7">
        <v>1.06</v>
      </c>
      <c r="J34" t="s">
        <v>61</v>
      </c>
      <c r="K34" t="s">
        <v>62</v>
      </c>
      <c r="L34" t="s">
        <v>24</v>
      </c>
      <c r="M34" t="s">
        <v>54</v>
      </c>
      <c r="N34" t="s">
        <v>55</v>
      </c>
      <c r="O34" t="s">
        <v>56</v>
      </c>
    </row>
    <row r="35" spans="1:15" x14ac:dyDescent="0.25">
      <c r="A35">
        <v>2015</v>
      </c>
      <c r="B35" t="s">
        <v>25</v>
      </c>
      <c r="C35" s="6">
        <v>2701</v>
      </c>
      <c r="D35" t="s">
        <v>20</v>
      </c>
      <c r="E35" t="s">
        <v>21</v>
      </c>
      <c r="F35" s="7">
        <v>13965736775</v>
      </c>
      <c r="G35" s="7">
        <v>532305.13</v>
      </c>
      <c r="H35" s="7">
        <v>813420</v>
      </c>
      <c r="I35" s="7">
        <v>92.1</v>
      </c>
      <c r="J35" t="s">
        <v>63</v>
      </c>
      <c r="K35" t="s">
        <v>64</v>
      </c>
      <c r="L35" t="s">
        <v>65</v>
      </c>
      <c r="M35" t="s">
        <v>54</v>
      </c>
      <c r="N35" t="s">
        <v>55</v>
      </c>
      <c r="O35" t="s">
        <v>56</v>
      </c>
    </row>
    <row r="36" spans="1:15" x14ac:dyDescent="0.25">
      <c r="A36">
        <v>2015</v>
      </c>
      <c r="B36" t="s">
        <v>32</v>
      </c>
      <c r="C36" s="6">
        <v>2701</v>
      </c>
      <c r="D36" t="s">
        <v>20</v>
      </c>
      <c r="E36" t="s">
        <v>21</v>
      </c>
      <c r="F36" s="7">
        <v>161501800</v>
      </c>
      <c r="G36" s="7">
        <v>7071.08</v>
      </c>
      <c r="H36" s="7">
        <v>0</v>
      </c>
      <c r="I36" s="7">
        <v>0</v>
      </c>
      <c r="J36" t="s">
        <v>84</v>
      </c>
      <c r="K36" t="s">
        <v>85</v>
      </c>
      <c r="L36" t="s">
        <v>86</v>
      </c>
      <c r="M36" t="s">
        <v>54</v>
      </c>
      <c r="N36" t="s">
        <v>55</v>
      </c>
      <c r="O36" t="s">
        <v>56</v>
      </c>
    </row>
    <row r="37" spans="1:15" x14ac:dyDescent="0.25">
      <c r="A37">
        <v>2015</v>
      </c>
      <c r="B37" t="s">
        <v>26</v>
      </c>
      <c r="C37" s="6">
        <v>2701</v>
      </c>
      <c r="D37" t="s">
        <v>20</v>
      </c>
      <c r="E37" t="s">
        <v>21</v>
      </c>
      <c r="F37" s="7">
        <v>76761130</v>
      </c>
      <c r="G37" s="7">
        <v>5980.38</v>
      </c>
      <c r="H37" s="7">
        <v>0</v>
      </c>
      <c r="I37" s="7">
        <v>0</v>
      </c>
      <c r="J37" t="s">
        <v>66</v>
      </c>
      <c r="K37" t="s">
        <v>67</v>
      </c>
      <c r="L37" t="s">
        <v>26</v>
      </c>
      <c r="M37" t="s">
        <v>54</v>
      </c>
      <c r="N37" t="s">
        <v>55</v>
      </c>
      <c r="O37" t="s">
        <v>56</v>
      </c>
    </row>
    <row r="38" spans="1:15" x14ac:dyDescent="0.25">
      <c r="A38">
        <v>2015</v>
      </c>
      <c r="B38" t="s">
        <v>33</v>
      </c>
      <c r="C38" s="6">
        <v>2701</v>
      </c>
      <c r="D38" t="s">
        <v>20</v>
      </c>
      <c r="E38" t="s">
        <v>21</v>
      </c>
      <c r="F38" s="7">
        <v>221220100</v>
      </c>
      <c r="G38" s="7">
        <v>9576.32</v>
      </c>
      <c r="H38" s="7">
        <v>0</v>
      </c>
      <c r="I38" s="7">
        <v>0</v>
      </c>
      <c r="J38" t="s">
        <v>87</v>
      </c>
      <c r="K38" t="s">
        <v>88</v>
      </c>
      <c r="L38" t="s">
        <v>89</v>
      </c>
      <c r="M38" t="s">
        <v>54</v>
      </c>
      <c r="N38" t="s">
        <v>55</v>
      </c>
      <c r="O38" t="s">
        <v>56</v>
      </c>
    </row>
    <row r="39" spans="1:15" x14ac:dyDescent="0.25">
      <c r="A39">
        <v>2015</v>
      </c>
      <c r="B39" t="s">
        <v>25</v>
      </c>
      <c r="C39" s="6">
        <v>2702</v>
      </c>
      <c r="D39" t="s">
        <v>36</v>
      </c>
      <c r="E39" t="s">
        <v>21</v>
      </c>
      <c r="F39" s="7">
        <v>46281300</v>
      </c>
      <c r="G39" s="7">
        <v>900.07</v>
      </c>
      <c r="H39" s="7">
        <v>0</v>
      </c>
      <c r="I39" s="7">
        <v>0</v>
      </c>
      <c r="J39" t="s">
        <v>63</v>
      </c>
      <c r="K39" t="s">
        <v>64</v>
      </c>
      <c r="L39" t="s">
        <v>65</v>
      </c>
      <c r="M39" t="s">
        <v>54</v>
      </c>
      <c r="N39" t="s">
        <v>55</v>
      </c>
      <c r="O39" t="s">
        <v>80</v>
      </c>
    </row>
    <row r="40" spans="1:15" x14ac:dyDescent="0.25">
      <c r="A40">
        <v>2016</v>
      </c>
      <c r="B40" t="s">
        <v>19</v>
      </c>
      <c r="C40" s="6">
        <v>2701</v>
      </c>
      <c r="D40" t="s">
        <v>20</v>
      </c>
      <c r="E40" t="s">
        <v>21</v>
      </c>
      <c r="F40" s="7">
        <v>0</v>
      </c>
      <c r="G40" s="7">
        <v>0</v>
      </c>
      <c r="H40" s="7">
        <v>0.78</v>
      </c>
      <c r="I40" s="7">
        <v>0.36</v>
      </c>
      <c r="J40" t="s">
        <v>51</v>
      </c>
      <c r="K40" t="s">
        <v>52</v>
      </c>
      <c r="L40" t="s">
        <v>53</v>
      </c>
      <c r="M40" t="s">
        <v>54</v>
      </c>
      <c r="N40" t="s">
        <v>55</v>
      </c>
      <c r="O40" t="s">
        <v>56</v>
      </c>
    </row>
    <row r="41" spans="1:15" x14ac:dyDescent="0.25">
      <c r="A41">
        <v>2016</v>
      </c>
      <c r="B41" t="s">
        <v>22</v>
      </c>
      <c r="C41" s="6">
        <v>2701</v>
      </c>
      <c r="D41" t="s">
        <v>20</v>
      </c>
      <c r="E41" t="s">
        <v>21</v>
      </c>
      <c r="F41" s="7">
        <v>0</v>
      </c>
      <c r="G41" s="7">
        <v>0</v>
      </c>
      <c r="H41" s="7">
        <v>6622.6</v>
      </c>
      <c r="I41" s="7">
        <v>11.45</v>
      </c>
      <c r="J41" t="s">
        <v>57</v>
      </c>
      <c r="K41" t="s">
        <v>57</v>
      </c>
      <c r="L41" t="s">
        <v>58</v>
      </c>
      <c r="M41" t="s">
        <v>54</v>
      </c>
      <c r="N41" t="s">
        <v>55</v>
      </c>
      <c r="O41" t="s">
        <v>56</v>
      </c>
    </row>
    <row r="42" spans="1:15" x14ac:dyDescent="0.25">
      <c r="A42">
        <v>2016</v>
      </c>
      <c r="B42" t="s">
        <v>25</v>
      </c>
      <c r="C42" s="6">
        <v>2701</v>
      </c>
      <c r="D42" t="s">
        <v>20</v>
      </c>
      <c r="E42" t="s">
        <v>21</v>
      </c>
      <c r="F42" s="7">
        <v>25317322770</v>
      </c>
      <c r="G42" s="7">
        <v>949164.19</v>
      </c>
      <c r="H42" s="7">
        <v>287650</v>
      </c>
      <c r="I42" s="7">
        <v>27.79</v>
      </c>
      <c r="J42" t="s">
        <v>63</v>
      </c>
      <c r="K42" t="s">
        <v>64</v>
      </c>
      <c r="L42" t="s">
        <v>65</v>
      </c>
      <c r="M42" t="s">
        <v>54</v>
      </c>
      <c r="N42" t="s">
        <v>55</v>
      </c>
      <c r="O42" t="s">
        <v>56</v>
      </c>
    </row>
    <row r="43" spans="1:15" x14ac:dyDescent="0.25">
      <c r="A43">
        <v>2016</v>
      </c>
      <c r="B43" t="s">
        <v>32</v>
      </c>
      <c r="C43" s="6">
        <v>2701</v>
      </c>
      <c r="D43" t="s">
        <v>20</v>
      </c>
      <c r="E43" t="s">
        <v>21</v>
      </c>
      <c r="F43" s="7">
        <v>316604450</v>
      </c>
      <c r="G43" s="7">
        <v>18453.52</v>
      </c>
      <c r="H43" s="7">
        <v>0</v>
      </c>
      <c r="I43" s="7">
        <v>0</v>
      </c>
      <c r="J43" t="s">
        <v>84</v>
      </c>
      <c r="K43" t="s">
        <v>85</v>
      </c>
      <c r="L43" t="s">
        <v>86</v>
      </c>
      <c r="M43" t="s">
        <v>54</v>
      </c>
      <c r="N43" t="s">
        <v>55</v>
      </c>
      <c r="O43" t="s">
        <v>56</v>
      </c>
    </row>
    <row r="44" spans="1:15" x14ac:dyDescent="0.25">
      <c r="A44">
        <v>2016</v>
      </c>
      <c r="B44" t="s">
        <v>26</v>
      </c>
      <c r="C44" s="6">
        <v>2701</v>
      </c>
      <c r="D44" t="s">
        <v>20</v>
      </c>
      <c r="E44" t="s">
        <v>21</v>
      </c>
      <c r="F44" s="7">
        <v>0</v>
      </c>
      <c r="G44" s="7">
        <v>0</v>
      </c>
      <c r="H44" s="7">
        <v>200</v>
      </c>
      <c r="I44" s="7">
        <v>0.08</v>
      </c>
      <c r="J44" t="s">
        <v>66</v>
      </c>
      <c r="K44" t="s">
        <v>67</v>
      </c>
      <c r="L44" t="s">
        <v>26</v>
      </c>
      <c r="M44" t="s">
        <v>54</v>
      </c>
      <c r="N44" t="s">
        <v>55</v>
      </c>
      <c r="O44" t="s">
        <v>56</v>
      </c>
    </row>
    <row r="45" spans="1:15" x14ac:dyDescent="0.25">
      <c r="A45">
        <v>2016</v>
      </c>
      <c r="B45" t="s">
        <v>27</v>
      </c>
      <c r="C45" s="6">
        <v>2701</v>
      </c>
      <c r="D45" t="s">
        <v>20</v>
      </c>
      <c r="E45" t="s">
        <v>21</v>
      </c>
      <c r="F45" s="7">
        <v>0</v>
      </c>
      <c r="G45" s="7">
        <v>0</v>
      </c>
      <c r="H45" s="7">
        <v>1250</v>
      </c>
      <c r="I45" s="7">
        <v>3.72</v>
      </c>
      <c r="J45" t="s">
        <v>68</v>
      </c>
      <c r="K45" t="s">
        <v>69</v>
      </c>
      <c r="L45" t="s">
        <v>70</v>
      </c>
      <c r="M45" t="s">
        <v>54</v>
      </c>
      <c r="N45" t="s">
        <v>55</v>
      </c>
      <c r="O45" t="s">
        <v>56</v>
      </c>
    </row>
    <row r="46" spans="1:15" x14ac:dyDescent="0.25">
      <c r="A46">
        <v>2016</v>
      </c>
      <c r="B46" t="s">
        <v>28</v>
      </c>
      <c r="C46" s="6">
        <v>2701</v>
      </c>
      <c r="D46" t="s">
        <v>20</v>
      </c>
      <c r="E46" t="s">
        <v>21</v>
      </c>
      <c r="F46" s="7">
        <v>79959000</v>
      </c>
      <c r="G46" s="7">
        <v>4138.71</v>
      </c>
      <c r="H46" s="7">
        <v>0</v>
      </c>
      <c r="I46" s="7">
        <v>0</v>
      </c>
      <c r="J46" t="s">
        <v>71</v>
      </c>
      <c r="K46" t="s">
        <v>72</v>
      </c>
      <c r="L46" t="s">
        <v>73</v>
      </c>
      <c r="M46" t="s">
        <v>54</v>
      </c>
      <c r="N46" t="s">
        <v>55</v>
      </c>
      <c r="O46" t="s">
        <v>56</v>
      </c>
    </row>
    <row r="47" spans="1:15" x14ac:dyDescent="0.25">
      <c r="A47">
        <v>2016</v>
      </c>
      <c r="B47" t="s">
        <v>25</v>
      </c>
      <c r="C47" s="6">
        <v>2702</v>
      </c>
      <c r="D47" t="s">
        <v>36</v>
      </c>
      <c r="E47" t="s">
        <v>21</v>
      </c>
      <c r="F47" s="7">
        <v>96709520</v>
      </c>
      <c r="G47" s="7">
        <v>1314.08</v>
      </c>
      <c r="H47" s="7">
        <v>212000</v>
      </c>
      <c r="I47" s="7">
        <v>5.13</v>
      </c>
      <c r="J47" t="s">
        <v>63</v>
      </c>
      <c r="K47" t="s">
        <v>64</v>
      </c>
      <c r="L47" t="s">
        <v>65</v>
      </c>
      <c r="M47" t="s">
        <v>54</v>
      </c>
      <c r="N47" t="s">
        <v>55</v>
      </c>
      <c r="O47" t="s">
        <v>80</v>
      </c>
    </row>
    <row r="48" spans="1:15" x14ac:dyDescent="0.25">
      <c r="A48">
        <v>2017</v>
      </c>
      <c r="B48" t="s">
        <v>19</v>
      </c>
      <c r="C48" s="6">
        <v>2701</v>
      </c>
      <c r="D48" t="s">
        <v>20</v>
      </c>
      <c r="E48" t="s">
        <v>21</v>
      </c>
      <c r="F48" s="7">
        <v>0</v>
      </c>
      <c r="G48" s="7">
        <v>0</v>
      </c>
      <c r="H48" s="7">
        <v>10.54</v>
      </c>
      <c r="I48" s="7">
        <v>1.05</v>
      </c>
      <c r="J48" t="s">
        <v>51</v>
      </c>
      <c r="K48" t="s">
        <v>52</v>
      </c>
      <c r="L48" t="s">
        <v>53</v>
      </c>
      <c r="M48" t="s">
        <v>54</v>
      </c>
      <c r="N48" t="s">
        <v>55</v>
      </c>
      <c r="O48" t="s">
        <v>56</v>
      </c>
    </row>
    <row r="49" spans="1:15" x14ac:dyDescent="0.25">
      <c r="A49">
        <v>2017</v>
      </c>
      <c r="B49" t="s">
        <v>24</v>
      </c>
      <c r="C49" s="6">
        <v>2701</v>
      </c>
      <c r="D49" t="s">
        <v>20</v>
      </c>
      <c r="E49" t="s">
        <v>21</v>
      </c>
      <c r="F49" s="7">
        <v>0</v>
      </c>
      <c r="G49" s="7">
        <v>0</v>
      </c>
      <c r="H49" s="7">
        <v>237.5</v>
      </c>
      <c r="I49" s="7">
        <v>0.06</v>
      </c>
      <c r="J49" t="s">
        <v>61</v>
      </c>
      <c r="K49" t="s">
        <v>62</v>
      </c>
      <c r="L49" t="s">
        <v>24</v>
      </c>
      <c r="M49" t="s">
        <v>54</v>
      </c>
      <c r="N49" t="s">
        <v>55</v>
      </c>
      <c r="O49" t="s">
        <v>56</v>
      </c>
    </row>
    <row r="50" spans="1:15" x14ac:dyDescent="0.25">
      <c r="A50">
        <v>2017</v>
      </c>
      <c r="B50" t="s">
        <v>25</v>
      </c>
      <c r="C50" s="6">
        <v>2701</v>
      </c>
      <c r="D50" t="s">
        <v>20</v>
      </c>
      <c r="E50" t="s">
        <v>21</v>
      </c>
      <c r="F50" s="7">
        <v>32291706230</v>
      </c>
      <c r="G50" s="7">
        <v>2187781.15</v>
      </c>
      <c r="H50" s="7">
        <v>1843352.31</v>
      </c>
      <c r="I50" s="7">
        <v>40.04</v>
      </c>
      <c r="J50" t="s">
        <v>63</v>
      </c>
      <c r="K50" t="s">
        <v>64</v>
      </c>
      <c r="L50" t="s">
        <v>65</v>
      </c>
      <c r="M50" t="s">
        <v>54</v>
      </c>
      <c r="N50" t="s">
        <v>55</v>
      </c>
      <c r="O50" t="s">
        <v>56</v>
      </c>
    </row>
    <row r="51" spans="1:15" x14ac:dyDescent="0.25">
      <c r="A51">
        <v>2017</v>
      </c>
      <c r="B51" t="s">
        <v>32</v>
      </c>
      <c r="C51" s="6">
        <v>2701</v>
      </c>
      <c r="D51" t="s">
        <v>20</v>
      </c>
      <c r="E51" t="s">
        <v>21</v>
      </c>
      <c r="F51" s="7">
        <v>489821490</v>
      </c>
      <c r="G51" s="7">
        <v>55390.95</v>
      </c>
      <c r="H51" s="7">
        <v>0</v>
      </c>
      <c r="I51" s="7">
        <v>0</v>
      </c>
      <c r="J51" t="s">
        <v>84</v>
      </c>
      <c r="K51" t="s">
        <v>85</v>
      </c>
      <c r="L51" t="s">
        <v>86</v>
      </c>
      <c r="M51" t="s">
        <v>54</v>
      </c>
      <c r="N51" t="s">
        <v>55</v>
      </c>
      <c r="O51" t="s">
        <v>56</v>
      </c>
    </row>
    <row r="52" spans="1:15" x14ac:dyDescent="0.25">
      <c r="A52">
        <v>2017</v>
      </c>
      <c r="B52" t="s">
        <v>26</v>
      </c>
      <c r="C52" s="6">
        <v>2701</v>
      </c>
      <c r="D52" t="s">
        <v>20</v>
      </c>
      <c r="E52" t="s">
        <v>21</v>
      </c>
      <c r="F52" s="7">
        <v>3743</v>
      </c>
      <c r="G52" s="7">
        <v>1.25</v>
      </c>
      <c r="H52" s="7">
        <v>0</v>
      </c>
      <c r="I52" s="7">
        <v>0</v>
      </c>
      <c r="J52" t="s">
        <v>66</v>
      </c>
      <c r="K52" t="s">
        <v>67</v>
      </c>
      <c r="L52" t="s">
        <v>26</v>
      </c>
      <c r="M52" t="s">
        <v>54</v>
      </c>
      <c r="N52" t="s">
        <v>55</v>
      </c>
      <c r="O52" t="s">
        <v>56</v>
      </c>
    </row>
    <row r="53" spans="1:15" x14ac:dyDescent="0.25">
      <c r="A53">
        <v>2017</v>
      </c>
      <c r="B53" t="s">
        <v>33</v>
      </c>
      <c r="C53" s="6">
        <v>2701</v>
      </c>
      <c r="D53" t="s">
        <v>20</v>
      </c>
      <c r="E53" t="s">
        <v>21</v>
      </c>
      <c r="F53" s="7">
        <v>91631750</v>
      </c>
      <c r="G53" s="7">
        <v>5820.44</v>
      </c>
      <c r="H53" s="7">
        <v>0</v>
      </c>
      <c r="I53" s="7">
        <v>0</v>
      </c>
      <c r="J53" t="s">
        <v>87</v>
      </c>
      <c r="K53" t="s">
        <v>88</v>
      </c>
      <c r="L53" t="s">
        <v>89</v>
      </c>
      <c r="M53" t="s">
        <v>54</v>
      </c>
      <c r="N53" t="s">
        <v>55</v>
      </c>
      <c r="O53" t="s">
        <v>56</v>
      </c>
    </row>
    <row r="54" spans="1:15" x14ac:dyDescent="0.25">
      <c r="A54">
        <v>2017</v>
      </c>
      <c r="B54" t="s">
        <v>28</v>
      </c>
      <c r="C54" s="6">
        <v>2701</v>
      </c>
      <c r="D54" t="s">
        <v>20</v>
      </c>
      <c r="E54" t="s">
        <v>21</v>
      </c>
      <c r="F54" s="7">
        <v>117764850</v>
      </c>
      <c r="G54" s="7">
        <v>7660.77</v>
      </c>
      <c r="H54" s="7">
        <v>0</v>
      </c>
      <c r="I54" s="7">
        <v>0</v>
      </c>
      <c r="J54" t="s">
        <v>71</v>
      </c>
      <c r="K54" t="s">
        <v>72</v>
      </c>
      <c r="L54" t="s">
        <v>73</v>
      </c>
      <c r="M54" t="s">
        <v>54</v>
      </c>
      <c r="N54" t="s">
        <v>55</v>
      </c>
      <c r="O54" t="s">
        <v>56</v>
      </c>
    </row>
    <row r="55" spans="1:15" x14ac:dyDescent="0.25">
      <c r="A55">
        <v>2017</v>
      </c>
      <c r="B55" t="s">
        <v>24</v>
      </c>
      <c r="C55" s="6">
        <v>2702</v>
      </c>
      <c r="D55" t="s">
        <v>36</v>
      </c>
      <c r="E55" t="s">
        <v>21</v>
      </c>
      <c r="F55" s="7">
        <v>9000</v>
      </c>
      <c r="G55" s="7">
        <v>0.05</v>
      </c>
      <c r="H55" s="7">
        <v>0</v>
      </c>
      <c r="I55" s="7">
        <v>0</v>
      </c>
      <c r="J55" t="s">
        <v>61</v>
      </c>
      <c r="K55" t="s">
        <v>62</v>
      </c>
      <c r="L55" t="s">
        <v>24</v>
      </c>
      <c r="M55" t="s">
        <v>54</v>
      </c>
      <c r="N55" t="s">
        <v>55</v>
      </c>
      <c r="O55" t="s">
        <v>80</v>
      </c>
    </row>
    <row r="56" spans="1:15" x14ac:dyDescent="0.25">
      <c r="A56">
        <v>2017</v>
      </c>
      <c r="B56" t="s">
        <v>25</v>
      </c>
      <c r="C56" s="6">
        <v>2702</v>
      </c>
      <c r="D56" t="s">
        <v>36</v>
      </c>
      <c r="E56" t="s">
        <v>21</v>
      </c>
      <c r="F56" s="7">
        <v>408417910</v>
      </c>
      <c r="G56" s="7">
        <v>10888.8</v>
      </c>
      <c r="H56" s="7">
        <v>0</v>
      </c>
      <c r="I56" s="7">
        <v>0</v>
      </c>
      <c r="J56" t="s">
        <v>63</v>
      </c>
      <c r="K56" t="s">
        <v>64</v>
      </c>
      <c r="L56" t="s">
        <v>65</v>
      </c>
      <c r="M56" t="s">
        <v>54</v>
      </c>
      <c r="N56" t="s">
        <v>55</v>
      </c>
      <c r="O56" t="s">
        <v>80</v>
      </c>
    </row>
    <row r="57" spans="1:15" x14ac:dyDescent="0.25">
      <c r="A57">
        <v>2018</v>
      </c>
      <c r="B57" t="s">
        <v>24</v>
      </c>
      <c r="C57" s="6">
        <v>2701</v>
      </c>
      <c r="D57" t="s">
        <v>20</v>
      </c>
      <c r="E57" t="s">
        <v>21</v>
      </c>
      <c r="F57" s="7">
        <v>0</v>
      </c>
      <c r="G57" s="7">
        <v>0</v>
      </c>
      <c r="H57" s="7">
        <v>162.69999999999999</v>
      </c>
      <c r="I57" s="7">
        <v>0.21</v>
      </c>
      <c r="J57" t="s">
        <v>61</v>
      </c>
      <c r="K57" t="s">
        <v>62</v>
      </c>
      <c r="L57" t="s">
        <v>24</v>
      </c>
      <c r="M57" t="s">
        <v>54</v>
      </c>
      <c r="N57" t="s">
        <v>55</v>
      </c>
      <c r="O57" t="s">
        <v>56</v>
      </c>
    </row>
    <row r="58" spans="1:15" x14ac:dyDescent="0.25">
      <c r="A58">
        <v>2018</v>
      </c>
      <c r="B58" t="s">
        <v>25</v>
      </c>
      <c r="C58" s="6">
        <v>2701</v>
      </c>
      <c r="D58" t="s">
        <v>20</v>
      </c>
      <c r="E58" t="s">
        <v>21</v>
      </c>
      <c r="F58" s="7">
        <v>35360684608</v>
      </c>
      <c r="G58" s="7">
        <v>2754550.13</v>
      </c>
      <c r="H58" s="7">
        <v>2075461</v>
      </c>
      <c r="I58" s="7">
        <v>42.53</v>
      </c>
      <c r="J58" t="s">
        <v>63</v>
      </c>
      <c r="K58" t="s">
        <v>64</v>
      </c>
      <c r="L58" t="s">
        <v>65</v>
      </c>
      <c r="M58" t="s">
        <v>54</v>
      </c>
      <c r="N58" t="s">
        <v>55</v>
      </c>
      <c r="O58" t="s">
        <v>56</v>
      </c>
    </row>
    <row r="59" spans="1:15" x14ac:dyDescent="0.25">
      <c r="A59">
        <v>2018</v>
      </c>
      <c r="B59" t="s">
        <v>32</v>
      </c>
      <c r="C59" s="6">
        <v>2701</v>
      </c>
      <c r="D59" t="s">
        <v>20</v>
      </c>
      <c r="E59" t="s">
        <v>21</v>
      </c>
      <c r="F59" s="7">
        <v>98305250</v>
      </c>
      <c r="G59" s="7">
        <v>12075.85</v>
      </c>
      <c r="H59" s="7">
        <v>0</v>
      </c>
      <c r="I59" s="7">
        <v>0</v>
      </c>
      <c r="J59" t="s">
        <v>84</v>
      </c>
      <c r="K59" t="s">
        <v>85</v>
      </c>
      <c r="L59" t="s">
        <v>86</v>
      </c>
      <c r="M59" t="s">
        <v>54</v>
      </c>
      <c r="N59" t="s">
        <v>55</v>
      </c>
      <c r="O59" t="s">
        <v>56</v>
      </c>
    </row>
    <row r="60" spans="1:15" x14ac:dyDescent="0.25">
      <c r="A60">
        <v>2018</v>
      </c>
      <c r="B60" t="s">
        <v>34</v>
      </c>
      <c r="C60" s="6">
        <v>2701</v>
      </c>
      <c r="D60" t="s">
        <v>20</v>
      </c>
      <c r="E60" t="s">
        <v>21</v>
      </c>
      <c r="F60" s="7">
        <v>0</v>
      </c>
      <c r="G60" s="7">
        <v>0</v>
      </c>
      <c r="H60" s="7">
        <v>125</v>
      </c>
      <c r="I60" s="7">
        <v>0.21</v>
      </c>
      <c r="J60" t="s">
        <v>90</v>
      </c>
      <c r="K60" t="s">
        <v>91</v>
      </c>
      <c r="L60" t="s">
        <v>92</v>
      </c>
      <c r="M60" t="s">
        <v>54</v>
      </c>
      <c r="N60" t="s">
        <v>55</v>
      </c>
      <c r="O60" t="s">
        <v>56</v>
      </c>
    </row>
    <row r="61" spans="1:15" x14ac:dyDescent="0.25">
      <c r="A61">
        <v>2018</v>
      </c>
      <c r="B61" t="s">
        <v>33</v>
      </c>
      <c r="C61" s="6">
        <v>2701</v>
      </c>
      <c r="D61" t="s">
        <v>20</v>
      </c>
      <c r="E61" t="s">
        <v>21</v>
      </c>
      <c r="F61" s="7">
        <v>164391550</v>
      </c>
      <c r="G61" s="7">
        <v>10755.74</v>
      </c>
      <c r="H61" s="7">
        <v>0</v>
      </c>
      <c r="I61" s="7">
        <v>0</v>
      </c>
      <c r="J61" t="s">
        <v>87</v>
      </c>
      <c r="K61" t="s">
        <v>88</v>
      </c>
      <c r="L61" t="s">
        <v>89</v>
      </c>
      <c r="M61" t="s">
        <v>54</v>
      </c>
      <c r="N61" t="s">
        <v>55</v>
      </c>
      <c r="O61" t="s">
        <v>56</v>
      </c>
    </row>
    <row r="62" spans="1:15" x14ac:dyDescent="0.25">
      <c r="A62">
        <v>2018</v>
      </c>
      <c r="B62" t="s">
        <v>28</v>
      </c>
      <c r="C62" s="6">
        <v>2701</v>
      </c>
      <c r="D62" t="s">
        <v>20</v>
      </c>
      <c r="E62" t="s">
        <v>21</v>
      </c>
      <c r="F62" s="7">
        <v>134817600</v>
      </c>
      <c r="G62" s="7">
        <v>8840.57</v>
      </c>
      <c r="H62" s="7">
        <v>0</v>
      </c>
      <c r="I62" s="7">
        <v>0</v>
      </c>
      <c r="J62" t="s">
        <v>71</v>
      </c>
      <c r="K62" t="s">
        <v>72</v>
      </c>
      <c r="L62" t="s">
        <v>73</v>
      </c>
      <c r="M62" t="s">
        <v>54</v>
      </c>
      <c r="N62" t="s">
        <v>55</v>
      </c>
      <c r="O62" t="s">
        <v>56</v>
      </c>
    </row>
    <row r="63" spans="1:15" x14ac:dyDescent="0.25">
      <c r="A63">
        <v>2018</v>
      </c>
      <c r="B63" t="s">
        <v>25</v>
      </c>
      <c r="C63" s="6">
        <v>2702</v>
      </c>
      <c r="D63" t="s">
        <v>36</v>
      </c>
      <c r="E63" t="s">
        <v>21</v>
      </c>
      <c r="F63" s="7">
        <v>506479880</v>
      </c>
      <c r="G63" s="7">
        <v>16291.67</v>
      </c>
      <c r="H63" s="7">
        <v>0</v>
      </c>
      <c r="I63" s="7">
        <v>0</v>
      </c>
      <c r="J63" t="s">
        <v>63</v>
      </c>
      <c r="K63" t="s">
        <v>64</v>
      </c>
      <c r="L63" t="s">
        <v>65</v>
      </c>
      <c r="M63" t="s">
        <v>54</v>
      </c>
      <c r="N63" t="s">
        <v>55</v>
      </c>
      <c r="O63" t="s">
        <v>80</v>
      </c>
    </row>
    <row r="64" spans="1:15" x14ac:dyDescent="0.25">
      <c r="A64">
        <v>2019</v>
      </c>
      <c r="B64" t="s">
        <v>19</v>
      </c>
      <c r="C64" s="6">
        <v>2701</v>
      </c>
      <c r="D64" t="s">
        <v>20</v>
      </c>
      <c r="E64" t="s">
        <v>21</v>
      </c>
      <c r="F64" s="7">
        <v>0</v>
      </c>
      <c r="G64" s="7">
        <v>0</v>
      </c>
      <c r="H64" s="7">
        <v>6000</v>
      </c>
      <c r="I64" s="7">
        <v>8.93</v>
      </c>
      <c r="J64" t="s">
        <v>51</v>
      </c>
      <c r="K64" t="s">
        <v>52</v>
      </c>
      <c r="L64" t="s">
        <v>53</v>
      </c>
      <c r="M64" t="s">
        <v>54</v>
      </c>
      <c r="N64" t="s">
        <v>55</v>
      </c>
      <c r="O64" t="s">
        <v>56</v>
      </c>
    </row>
    <row r="65" spans="1:15" x14ac:dyDescent="0.25">
      <c r="A65">
        <v>2019</v>
      </c>
      <c r="B65" t="s">
        <v>25</v>
      </c>
      <c r="C65" s="6">
        <v>2701</v>
      </c>
      <c r="D65" t="s">
        <v>20</v>
      </c>
      <c r="E65" t="s">
        <v>21</v>
      </c>
      <c r="F65" s="7">
        <v>35798266420</v>
      </c>
      <c r="G65" s="7">
        <v>3014306.61</v>
      </c>
      <c r="H65" s="7">
        <v>49509011.479999997</v>
      </c>
      <c r="I65" s="7">
        <v>1074.6099999999999</v>
      </c>
      <c r="J65" s="1" t="s">
        <v>63</v>
      </c>
      <c r="K65" s="1" t="s">
        <v>64</v>
      </c>
      <c r="L65" t="s">
        <v>65</v>
      </c>
      <c r="M65" t="s">
        <v>54</v>
      </c>
      <c r="N65" t="s">
        <v>55</v>
      </c>
      <c r="O65" t="s">
        <v>56</v>
      </c>
    </row>
    <row r="66" spans="1:15" x14ac:dyDescent="0.25">
      <c r="A66">
        <v>2019</v>
      </c>
      <c r="B66" t="s">
        <v>32</v>
      </c>
      <c r="C66" s="6">
        <v>2701</v>
      </c>
      <c r="D66" t="s">
        <v>20</v>
      </c>
      <c r="E66" t="s">
        <v>21</v>
      </c>
      <c r="F66" s="7">
        <v>333166110</v>
      </c>
      <c r="G66" s="7">
        <v>35838.46</v>
      </c>
      <c r="H66" s="7">
        <v>0</v>
      </c>
      <c r="I66" s="7">
        <v>0</v>
      </c>
      <c r="J66" t="s">
        <v>84</v>
      </c>
      <c r="K66" t="s">
        <v>85</v>
      </c>
      <c r="L66" t="s">
        <v>86</v>
      </c>
      <c r="M66" t="s">
        <v>54</v>
      </c>
      <c r="N66" t="s">
        <v>55</v>
      </c>
      <c r="O66" t="s">
        <v>56</v>
      </c>
    </row>
    <row r="67" spans="1:15" x14ac:dyDescent="0.25">
      <c r="A67">
        <v>2019</v>
      </c>
      <c r="B67" t="s">
        <v>33</v>
      </c>
      <c r="C67" s="6">
        <v>2701</v>
      </c>
      <c r="D67" t="s">
        <v>20</v>
      </c>
      <c r="E67" t="s">
        <v>21</v>
      </c>
      <c r="F67" s="7">
        <v>335331300</v>
      </c>
      <c r="G67" s="7">
        <v>24231.31</v>
      </c>
      <c r="H67" s="7">
        <v>0</v>
      </c>
      <c r="I67" s="7">
        <v>0</v>
      </c>
      <c r="J67" t="s">
        <v>87</v>
      </c>
      <c r="K67" t="s">
        <v>88</v>
      </c>
      <c r="L67" t="s">
        <v>89</v>
      </c>
      <c r="M67" t="s">
        <v>54</v>
      </c>
      <c r="N67" t="s">
        <v>55</v>
      </c>
      <c r="O67" t="s">
        <v>56</v>
      </c>
    </row>
    <row r="68" spans="1:15" x14ac:dyDescent="0.25">
      <c r="A68">
        <v>2019</v>
      </c>
      <c r="B68" t="s">
        <v>24</v>
      </c>
      <c r="C68" s="6">
        <v>2702</v>
      </c>
      <c r="D68" t="s">
        <v>36</v>
      </c>
      <c r="E68" t="s">
        <v>21</v>
      </c>
      <c r="F68" s="7">
        <v>4000</v>
      </c>
      <c r="G68" s="7">
        <v>0.28999999999999998</v>
      </c>
      <c r="H68" s="7">
        <v>0</v>
      </c>
      <c r="I68" s="7">
        <v>0</v>
      </c>
      <c r="J68" t="s">
        <v>61</v>
      </c>
      <c r="K68" t="s">
        <v>62</v>
      </c>
      <c r="L68" t="s">
        <v>24</v>
      </c>
      <c r="M68" t="s">
        <v>54</v>
      </c>
      <c r="N68" t="s">
        <v>55</v>
      </c>
      <c r="O68" t="s">
        <v>80</v>
      </c>
    </row>
    <row r="69" spans="1:15" x14ac:dyDescent="0.25">
      <c r="A69">
        <v>2019</v>
      </c>
      <c r="B69" t="s">
        <v>25</v>
      </c>
      <c r="C69" s="6">
        <v>2702</v>
      </c>
      <c r="D69" t="s">
        <v>36</v>
      </c>
      <c r="E69" t="s">
        <v>21</v>
      </c>
      <c r="F69" s="7">
        <v>137306540</v>
      </c>
      <c r="G69" s="7">
        <v>4445.2</v>
      </c>
      <c r="H69" s="7">
        <v>4382470</v>
      </c>
      <c r="I69" s="7">
        <v>66.5</v>
      </c>
      <c r="J69" t="s">
        <v>63</v>
      </c>
      <c r="K69" t="s">
        <v>64</v>
      </c>
      <c r="L69" t="s">
        <v>65</v>
      </c>
      <c r="M69" t="s">
        <v>54</v>
      </c>
      <c r="N69" t="s">
        <v>55</v>
      </c>
      <c r="O69" t="s">
        <v>80</v>
      </c>
    </row>
    <row r="70" spans="1:15" x14ac:dyDescent="0.25">
      <c r="A70">
        <v>2019</v>
      </c>
      <c r="B70" t="s">
        <v>26</v>
      </c>
      <c r="C70" s="6">
        <v>2702</v>
      </c>
      <c r="D70" t="s">
        <v>36</v>
      </c>
      <c r="E70" t="s">
        <v>21</v>
      </c>
      <c r="F70" s="7">
        <v>0</v>
      </c>
      <c r="G70" s="7">
        <v>0</v>
      </c>
      <c r="H70" s="7">
        <v>13.47</v>
      </c>
      <c r="I70" s="7">
        <v>0.1</v>
      </c>
      <c r="J70" t="s">
        <v>66</v>
      </c>
      <c r="K70" t="s">
        <v>67</v>
      </c>
      <c r="L70" t="s">
        <v>26</v>
      </c>
      <c r="M70" t="s">
        <v>54</v>
      </c>
      <c r="N70" t="s">
        <v>55</v>
      </c>
      <c r="O70" t="s">
        <v>80</v>
      </c>
    </row>
    <row r="71" spans="1:15" x14ac:dyDescent="0.25">
      <c r="A71">
        <v>2020</v>
      </c>
      <c r="B71" t="s">
        <v>22</v>
      </c>
      <c r="C71" s="6">
        <v>2701</v>
      </c>
      <c r="D71" t="s">
        <v>20</v>
      </c>
      <c r="E71" t="s">
        <v>21</v>
      </c>
      <c r="F71" s="7">
        <v>0</v>
      </c>
      <c r="G71" s="7">
        <v>0</v>
      </c>
      <c r="H71" s="7">
        <v>3000</v>
      </c>
      <c r="I71" s="7">
        <v>2.25</v>
      </c>
      <c r="J71" t="s">
        <v>57</v>
      </c>
      <c r="K71" t="s">
        <v>57</v>
      </c>
      <c r="L71" t="s">
        <v>58</v>
      </c>
      <c r="M71" t="s">
        <v>54</v>
      </c>
      <c r="N71" t="s">
        <v>55</v>
      </c>
      <c r="O71" t="s">
        <v>56</v>
      </c>
    </row>
    <row r="72" spans="1:15" x14ac:dyDescent="0.25">
      <c r="A72">
        <v>2020</v>
      </c>
      <c r="B72" t="s">
        <v>24</v>
      </c>
      <c r="C72" s="6">
        <v>2701</v>
      </c>
      <c r="D72" t="s">
        <v>20</v>
      </c>
      <c r="E72" t="s">
        <v>21</v>
      </c>
      <c r="F72" s="7">
        <v>26938450</v>
      </c>
      <c r="G72" s="7">
        <v>2886.04</v>
      </c>
      <c r="H72" s="7">
        <v>0</v>
      </c>
      <c r="I72" s="7">
        <v>0</v>
      </c>
      <c r="J72" t="s">
        <v>61</v>
      </c>
      <c r="K72" t="s">
        <v>62</v>
      </c>
      <c r="L72" t="s">
        <v>24</v>
      </c>
      <c r="M72" t="s">
        <v>54</v>
      </c>
      <c r="N72" t="s">
        <v>55</v>
      </c>
      <c r="O72" t="s">
        <v>56</v>
      </c>
    </row>
    <row r="73" spans="1:15" x14ac:dyDescent="0.25">
      <c r="A73">
        <v>2020</v>
      </c>
      <c r="B73" t="s">
        <v>25</v>
      </c>
      <c r="C73" s="6">
        <v>2701</v>
      </c>
      <c r="D73" t="s">
        <v>20</v>
      </c>
      <c r="E73" t="s">
        <v>21</v>
      </c>
      <c r="F73" s="7">
        <v>27209891448</v>
      </c>
      <c r="G73" s="7">
        <v>2008787.65</v>
      </c>
      <c r="H73" s="7">
        <v>3473958</v>
      </c>
      <c r="I73" s="7">
        <v>126.59</v>
      </c>
      <c r="J73" t="s">
        <v>63</v>
      </c>
      <c r="K73" t="s">
        <v>64</v>
      </c>
      <c r="L73" t="s">
        <v>65</v>
      </c>
      <c r="M73" t="s">
        <v>54</v>
      </c>
      <c r="N73" t="s">
        <v>55</v>
      </c>
      <c r="O73" t="s">
        <v>56</v>
      </c>
    </row>
    <row r="74" spans="1:15" x14ac:dyDescent="0.25">
      <c r="A74">
        <v>2020</v>
      </c>
      <c r="B74" t="s">
        <v>35</v>
      </c>
      <c r="C74" s="6">
        <v>2701</v>
      </c>
      <c r="D74" t="s">
        <v>20</v>
      </c>
      <c r="E74" t="s">
        <v>21</v>
      </c>
      <c r="F74" s="7">
        <v>49</v>
      </c>
      <c r="G74" s="7">
        <v>0</v>
      </c>
      <c r="H74" s="7">
        <v>0</v>
      </c>
      <c r="I74" s="7">
        <v>0</v>
      </c>
      <c r="J74" t="s">
        <v>93</v>
      </c>
      <c r="K74" t="s">
        <v>94</v>
      </c>
      <c r="L74" t="s">
        <v>95</v>
      </c>
      <c r="M74" t="s">
        <v>54</v>
      </c>
      <c r="N74" t="s">
        <v>55</v>
      </c>
      <c r="O74" t="s">
        <v>56</v>
      </c>
    </row>
    <row r="75" spans="1:15" x14ac:dyDescent="0.25">
      <c r="A75">
        <v>2020</v>
      </c>
      <c r="B75" t="s">
        <v>32</v>
      </c>
      <c r="C75" s="6">
        <v>2701</v>
      </c>
      <c r="D75" t="s">
        <v>20</v>
      </c>
      <c r="E75" t="s">
        <v>21</v>
      </c>
      <c r="F75" s="7">
        <v>296718900</v>
      </c>
      <c r="G75" s="7">
        <v>29819.94</v>
      </c>
      <c r="H75" s="7">
        <v>0</v>
      </c>
      <c r="I75" s="7">
        <v>0</v>
      </c>
      <c r="J75" t="s">
        <v>84</v>
      </c>
      <c r="K75" t="s">
        <v>85</v>
      </c>
      <c r="L75" t="s">
        <v>86</v>
      </c>
      <c r="M75" t="s">
        <v>54</v>
      </c>
      <c r="N75" t="s">
        <v>55</v>
      </c>
      <c r="O75" t="s">
        <v>56</v>
      </c>
    </row>
    <row r="76" spans="1:15" x14ac:dyDescent="0.25">
      <c r="A76">
        <v>2020</v>
      </c>
      <c r="B76" t="s">
        <v>33</v>
      </c>
      <c r="C76" s="6">
        <v>2701</v>
      </c>
      <c r="D76" t="s">
        <v>20</v>
      </c>
      <c r="E76" t="s">
        <v>21</v>
      </c>
      <c r="F76" s="7">
        <v>1053330260</v>
      </c>
      <c r="G76" s="7">
        <v>82175.78</v>
      </c>
      <c r="H76" s="7">
        <v>0</v>
      </c>
      <c r="I76" s="7">
        <v>0</v>
      </c>
      <c r="J76" t="s">
        <v>87</v>
      </c>
      <c r="K76" t="s">
        <v>88</v>
      </c>
      <c r="L76" t="s">
        <v>89</v>
      </c>
      <c r="M76" t="s">
        <v>54</v>
      </c>
      <c r="N76" t="s">
        <v>55</v>
      </c>
      <c r="O76" t="s">
        <v>56</v>
      </c>
    </row>
    <row r="77" spans="1:15" x14ac:dyDescent="0.25">
      <c r="A77">
        <v>2020</v>
      </c>
      <c r="B77" t="s">
        <v>27</v>
      </c>
      <c r="C77" s="6">
        <v>2701</v>
      </c>
      <c r="D77" t="s">
        <v>20</v>
      </c>
      <c r="E77" t="s">
        <v>21</v>
      </c>
      <c r="F77" s="7">
        <v>1600</v>
      </c>
      <c r="G77" s="7">
        <v>0.36</v>
      </c>
      <c r="H77" s="7">
        <v>0</v>
      </c>
      <c r="I77" s="7">
        <v>0</v>
      </c>
      <c r="J77" t="s">
        <v>68</v>
      </c>
      <c r="K77" t="s">
        <v>69</v>
      </c>
      <c r="L77" t="s">
        <v>70</v>
      </c>
      <c r="M77" t="s">
        <v>54</v>
      </c>
      <c r="N77" t="s">
        <v>55</v>
      </c>
      <c r="O77" t="s">
        <v>56</v>
      </c>
    </row>
    <row r="78" spans="1:15" x14ac:dyDescent="0.25">
      <c r="A78">
        <v>2020</v>
      </c>
      <c r="B78" t="s">
        <v>25</v>
      </c>
      <c r="C78" s="6">
        <v>2702</v>
      </c>
      <c r="D78" t="s">
        <v>36</v>
      </c>
      <c r="E78" t="s">
        <v>21</v>
      </c>
      <c r="F78" s="7">
        <v>89984200</v>
      </c>
      <c r="G78" s="7">
        <v>2905.26</v>
      </c>
      <c r="H78" s="7">
        <v>1022100</v>
      </c>
      <c r="I78" s="7">
        <v>16</v>
      </c>
      <c r="J78" t="s">
        <v>63</v>
      </c>
      <c r="K78" t="s">
        <v>64</v>
      </c>
      <c r="L78" t="s">
        <v>65</v>
      </c>
      <c r="M78" t="s">
        <v>54</v>
      </c>
      <c r="N78" t="s">
        <v>55</v>
      </c>
      <c r="O78" t="s">
        <v>80</v>
      </c>
    </row>
    <row r="79" spans="1:15" x14ac:dyDescent="0.25">
      <c r="A79">
        <v>2020</v>
      </c>
      <c r="B79" t="s">
        <v>27</v>
      </c>
      <c r="C79" s="6">
        <v>2702</v>
      </c>
      <c r="D79" t="s">
        <v>36</v>
      </c>
      <c r="E79" t="s">
        <v>21</v>
      </c>
      <c r="F79" s="7">
        <v>1500</v>
      </c>
      <c r="G79" s="7">
        <v>0.31</v>
      </c>
      <c r="H79" s="7">
        <v>0</v>
      </c>
      <c r="I79" s="7">
        <v>0</v>
      </c>
      <c r="J79" t="s">
        <v>68</v>
      </c>
      <c r="K79" t="s">
        <v>69</v>
      </c>
      <c r="L79" t="s">
        <v>70</v>
      </c>
      <c r="M79" t="s">
        <v>54</v>
      </c>
      <c r="N79" t="s">
        <v>55</v>
      </c>
      <c r="O79" t="s">
        <v>80</v>
      </c>
    </row>
    <row r="80" spans="1:15" x14ac:dyDescent="0.25">
      <c r="A80">
        <v>2021</v>
      </c>
      <c r="B80" t="s">
        <v>24</v>
      </c>
      <c r="C80" s="6">
        <v>2701</v>
      </c>
      <c r="D80" t="s">
        <v>20</v>
      </c>
      <c r="E80" t="s">
        <v>21</v>
      </c>
      <c r="F80" s="7">
        <v>191623630</v>
      </c>
      <c r="G80" s="7">
        <v>50089.15</v>
      </c>
      <c r="H80" s="7">
        <v>920.4</v>
      </c>
      <c r="I80" s="7">
        <v>1.86</v>
      </c>
      <c r="J80" t="s">
        <v>61</v>
      </c>
      <c r="K80" t="s">
        <v>62</v>
      </c>
      <c r="L80" t="s">
        <v>24</v>
      </c>
      <c r="M80" t="s">
        <v>54</v>
      </c>
      <c r="N80" t="s">
        <v>55</v>
      </c>
      <c r="O80" t="s">
        <v>56</v>
      </c>
    </row>
    <row r="81" spans="1:15" x14ac:dyDescent="0.25">
      <c r="A81">
        <v>2021</v>
      </c>
      <c r="B81" t="s">
        <v>25</v>
      </c>
      <c r="C81" s="6">
        <v>2701</v>
      </c>
      <c r="D81" t="s">
        <v>20</v>
      </c>
      <c r="E81" t="s">
        <v>21</v>
      </c>
      <c r="F81" s="7">
        <v>14557791180</v>
      </c>
      <c r="G81" s="7">
        <v>2465807.2599999998</v>
      </c>
      <c r="H81" s="7">
        <v>8450050</v>
      </c>
      <c r="I81" s="7">
        <v>731.93</v>
      </c>
      <c r="J81" t="s">
        <v>63</v>
      </c>
      <c r="K81" t="s">
        <v>64</v>
      </c>
      <c r="L81" t="s">
        <v>65</v>
      </c>
      <c r="M81" t="s">
        <v>54</v>
      </c>
      <c r="N81" t="s">
        <v>55</v>
      </c>
      <c r="O81" t="s">
        <v>56</v>
      </c>
    </row>
    <row r="82" spans="1:15" x14ac:dyDescent="0.25">
      <c r="A82">
        <v>2021</v>
      </c>
      <c r="B82" t="s">
        <v>26</v>
      </c>
      <c r="C82" s="6">
        <v>2701</v>
      </c>
      <c r="D82" t="s">
        <v>20</v>
      </c>
      <c r="E82" t="s">
        <v>21</v>
      </c>
      <c r="F82" s="7">
        <v>3911900</v>
      </c>
      <c r="G82" s="7">
        <v>394.16</v>
      </c>
      <c r="H82" s="7">
        <v>0</v>
      </c>
      <c r="I82" s="7">
        <v>0</v>
      </c>
      <c r="J82" t="s">
        <v>66</v>
      </c>
      <c r="K82" t="s">
        <v>67</v>
      </c>
      <c r="L82" t="s">
        <v>26</v>
      </c>
      <c r="M82" t="s">
        <v>54</v>
      </c>
      <c r="N82" t="s">
        <v>55</v>
      </c>
      <c r="O82" t="s">
        <v>56</v>
      </c>
    </row>
    <row r="83" spans="1:15" x14ac:dyDescent="0.25">
      <c r="A83">
        <v>2021</v>
      </c>
      <c r="B83" t="s">
        <v>33</v>
      </c>
      <c r="C83" s="6">
        <v>2701</v>
      </c>
      <c r="D83" t="s">
        <v>20</v>
      </c>
      <c r="E83" t="s">
        <v>21</v>
      </c>
      <c r="F83" s="7">
        <v>954758300</v>
      </c>
      <c r="G83" s="7">
        <v>247646.53</v>
      </c>
      <c r="H83" s="7">
        <v>0</v>
      </c>
      <c r="I83" s="7">
        <v>0</v>
      </c>
      <c r="J83" t="s">
        <v>87</v>
      </c>
      <c r="K83" t="s">
        <v>88</v>
      </c>
      <c r="L83" t="s">
        <v>89</v>
      </c>
      <c r="M83" t="s">
        <v>54</v>
      </c>
      <c r="N83" t="s">
        <v>55</v>
      </c>
      <c r="O83" t="s">
        <v>56</v>
      </c>
    </row>
    <row r="84" spans="1:15" x14ac:dyDescent="0.25">
      <c r="A84">
        <v>2021</v>
      </c>
      <c r="B84" t="s">
        <v>25</v>
      </c>
      <c r="C84" s="6">
        <v>2702</v>
      </c>
      <c r="D84" t="s">
        <v>36</v>
      </c>
      <c r="E84" t="s">
        <v>21</v>
      </c>
      <c r="F84" s="7">
        <v>429531360</v>
      </c>
      <c r="G84" s="7">
        <v>15516.86</v>
      </c>
      <c r="H84" s="7">
        <v>584800</v>
      </c>
      <c r="I84" s="7">
        <v>12.69</v>
      </c>
      <c r="J84" t="s">
        <v>63</v>
      </c>
      <c r="K84" t="s">
        <v>64</v>
      </c>
      <c r="L84" t="s">
        <v>65</v>
      </c>
      <c r="M84" t="s">
        <v>54</v>
      </c>
      <c r="N84" t="s">
        <v>55</v>
      </c>
      <c r="O84" t="s">
        <v>80</v>
      </c>
    </row>
    <row r="85" spans="1:15" x14ac:dyDescent="0.25">
      <c r="A85">
        <v>2021</v>
      </c>
      <c r="B85" t="s">
        <v>26</v>
      </c>
      <c r="C85" s="6">
        <v>2702</v>
      </c>
      <c r="D85" t="s">
        <v>36</v>
      </c>
      <c r="E85" t="s">
        <v>21</v>
      </c>
      <c r="F85" s="7">
        <v>20000</v>
      </c>
      <c r="G85" s="7">
        <v>0.88</v>
      </c>
      <c r="H85" s="7">
        <v>0</v>
      </c>
      <c r="I85" s="7">
        <v>0</v>
      </c>
      <c r="J85" t="s">
        <v>66</v>
      </c>
      <c r="K85" t="s">
        <v>67</v>
      </c>
      <c r="L85" t="s">
        <v>26</v>
      </c>
      <c r="M85" t="s">
        <v>54</v>
      </c>
      <c r="N85" t="s">
        <v>55</v>
      </c>
      <c r="O85" t="s">
        <v>80</v>
      </c>
    </row>
    <row r="86" spans="1:15" x14ac:dyDescent="0.25">
      <c r="A86">
        <v>2022</v>
      </c>
      <c r="B86" t="s">
        <v>19</v>
      </c>
      <c r="C86" s="6">
        <v>2701</v>
      </c>
      <c r="D86" t="s">
        <v>20</v>
      </c>
      <c r="E86" t="s">
        <v>21</v>
      </c>
      <c r="F86">
        <v>2.1</v>
      </c>
      <c r="G86">
        <v>0.01</v>
      </c>
      <c r="H86">
        <v>0</v>
      </c>
      <c r="I86">
        <v>0</v>
      </c>
      <c r="J86" t="s">
        <v>51</v>
      </c>
      <c r="K86" t="s">
        <v>52</v>
      </c>
      <c r="L86" t="s">
        <v>53</v>
      </c>
      <c r="M86" t="s">
        <v>54</v>
      </c>
      <c r="N86" t="s">
        <v>55</v>
      </c>
      <c r="O86" t="s">
        <v>56</v>
      </c>
    </row>
    <row r="87" spans="1:15" x14ac:dyDescent="0.25">
      <c r="A87">
        <v>2022</v>
      </c>
      <c r="B87" t="s">
        <v>22</v>
      </c>
      <c r="C87" s="6">
        <v>2701</v>
      </c>
      <c r="D87" t="s">
        <v>20</v>
      </c>
      <c r="E87" t="s">
        <v>21</v>
      </c>
      <c r="F87">
        <v>0</v>
      </c>
      <c r="G87">
        <v>0</v>
      </c>
      <c r="H87" s="1">
        <v>4000</v>
      </c>
      <c r="I87">
        <v>4.93</v>
      </c>
      <c r="J87" t="s">
        <v>57</v>
      </c>
      <c r="K87" t="s">
        <v>57</v>
      </c>
      <c r="L87" t="s">
        <v>58</v>
      </c>
      <c r="M87" t="s">
        <v>54</v>
      </c>
      <c r="N87" t="s">
        <v>55</v>
      </c>
      <c r="O87" t="s">
        <v>56</v>
      </c>
    </row>
    <row r="88" spans="1:15" x14ac:dyDescent="0.25">
      <c r="A88">
        <v>2022</v>
      </c>
      <c r="B88" t="s">
        <v>24</v>
      </c>
      <c r="C88" s="6">
        <v>2701</v>
      </c>
      <c r="D88" t="s">
        <v>20</v>
      </c>
      <c r="E88" t="s">
        <v>21</v>
      </c>
      <c r="F88" s="1">
        <v>671241050</v>
      </c>
      <c r="G88" s="1">
        <v>149941.64000000001</v>
      </c>
      <c r="H88">
        <v>484.8</v>
      </c>
      <c r="I88">
        <v>0.88</v>
      </c>
      <c r="J88" t="s">
        <v>61</v>
      </c>
      <c r="K88" t="s">
        <v>98</v>
      </c>
      <c r="L88" t="s">
        <v>24</v>
      </c>
      <c r="M88" t="s">
        <v>54</v>
      </c>
      <c r="N88" t="s">
        <v>55</v>
      </c>
      <c r="O88" t="s">
        <v>56</v>
      </c>
    </row>
    <row r="89" spans="1:15" x14ac:dyDescent="0.25">
      <c r="A89">
        <v>2022</v>
      </c>
      <c r="B89" t="s">
        <v>25</v>
      </c>
      <c r="C89" s="6">
        <v>2701</v>
      </c>
      <c r="D89" t="s">
        <v>20</v>
      </c>
      <c r="E89" t="s">
        <v>21</v>
      </c>
      <c r="F89" s="1">
        <v>29770021859</v>
      </c>
      <c r="G89" s="1">
        <v>6000282.7300000004</v>
      </c>
      <c r="H89" s="1">
        <v>12237864</v>
      </c>
      <c r="I89" s="1">
        <v>2311.15</v>
      </c>
      <c r="J89" t="s">
        <v>63</v>
      </c>
      <c r="K89" t="s">
        <v>99</v>
      </c>
      <c r="L89" t="s">
        <v>65</v>
      </c>
      <c r="M89" t="s">
        <v>54</v>
      </c>
      <c r="N89" t="s">
        <v>55</v>
      </c>
      <c r="O89" t="s">
        <v>56</v>
      </c>
    </row>
    <row r="90" spans="1:15" x14ac:dyDescent="0.25">
      <c r="A90">
        <v>2022</v>
      </c>
      <c r="B90" t="s">
        <v>25</v>
      </c>
      <c r="C90" s="6">
        <v>2702</v>
      </c>
      <c r="D90" t="s">
        <v>36</v>
      </c>
      <c r="E90" t="s">
        <v>21</v>
      </c>
      <c r="F90" s="1">
        <v>127901740</v>
      </c>
      <c r="G90" s="1">
        <v>7648.94</v>
      </c>
      <c r="H90" s="1">
        <v>13812019</v>
      </c>
      <c r="I90">
        <v>558.55999999999995</v>
      </c>
      <c r="J90" t="s">
        <v>63</v>
      </c>
      <c r="K90" t="s">
        <v>99</v>
      </c>
      <c r="L90" t="s">
        <v>65</v>
      </c>
      <c r="M90" t="s">
        <v>54</v>
      </c>
      <c r="N90" t="s">
        <v>55</v>
      </c>
      <c r="O90" t="s">
        <v>80</v>
      </c>
    </row>
    <row r="91" spans="1:15" x14ac:dyDescent="0.25">
      <c r="A91">
        <v>2022</v>
      </c>
      <c r="B91" t="s">
        <v>26</v>
      </c>
      <c r="C91" s="6">
        <v>2701</v>
      </c>
      <c r="D91" t="s">
        <v>20</v>
      </c>
      <c r="E91" t="s">
        <v>21</v>
      </c>
      <c r="F91">
        <v>135</v>
      </c>
      <c r="G91">
        <v>0.47</v>
      </c>
      <c r="H91">
        <v>0</v>
      </c>
      <c r="I91">
        <v>0</v>
      </c>
      <c r="J91" t="s">
        <v>66</v>
      </c>
      <c r="K91" t="s">
        <v>67</v>
      </c>
      <c r="L91" t="s">
        <v>26</v>
      </c>
      <c r="M91" t="s">
        <v>54</v>
      </c>
      <c r="N91" t="s">
        <v>55</v>
      </c>
      <c r="O91" t="s">
        <v>56</v>
      </c>
    </row>
    <row r="92" spans="1:15" x14ac:dyDescent="0.25">
      <c r="A92">
        <v>2022</v>
      </c>
      <c r="B92" t="s">
        <v>33</v>
      </c>
      <c r="C92" s="6">
        <v>2701</v>
      </c>
      <c r="D92" t="s">
        <v>20</v>
      </c>
      <c r="E92" t="s">
        <v>21</v>
      </c>
      <c r="F92" s="1">
        <v>1216663850</v>
      </c>
      <c r="G92" s="1">
        <v>336994.83</v>
      </c>
      <c r="H92">
        <v>0</v>
      </c>
      <c r="I92">
        <v>0</v>
      </c>
      <c r="J92" t="s">
        <v>87</v>
      </c>
      <c r="K92" t="s">
        <v>100</v>
      </c>
      <c r="L92" t="s">
        <v>89</v>
      </c>
      <c r="M92" t="s">
        <v>54</v>
      </c>
      <c r="N92" t="s">
        <v>55</v>
      </c>
      <c r="O92" t="s">
        <v>56</v>
      </c>
    </row>
    <row r="93" spans="1:15" x14ac:dyDescent="0.25">
      <c r="A93">
        <v>2022</v>
      </c>
      <c r="B93" t="s">
        <v>27</v>
      </c>
      <c r="C93" s="6">
        <v>2701</v>
      </c>
      <c r="D93" t="s">
        <v>20</v>
      </c>
      <c r="E93" t="s">
        <v>21</v>
      </c>
      <c r="F93" s="1">
        <v>3000</v>
      </c>
      <c r="G93">
        <v>20.55</v>
      </c>
      <c r="H93">
        <v>0</v>
      </c>
      <c r="I93">
        <v>0</v>
      </c>
      <c r="J93" t="s">
        <v>68</v>
      </c>
      <c r="K93" t="s">
        <v>69</v>
      </c>
      <c r="L93" t="s">
        <v>70</v>
      </c>
      <c r="M93" t="s">
        <v>54</v>
      </c>
      <c r="N93" t="s">
        <v>55</v>
      </c>
      <c r="O93" t="s">
        <v>56</v>
      </c>
    </row>
    <row r="94" spans="1:15" x14ac:dyDescent="0.25">
      <c r="A94">
        <v>2022</v>
      </c>
      <c r="B94" t="s">
        <v>28</v>
      </c>
      <c r="C94" s="6">
        <v>2701</v>
      </c>
      <c r="D94" t="s">
        <v>20</v>
      </c>
      <c r="E94" t="s">
        <v>21</v>
      </c>
      <c r="F94" s="1">
        <v>28129000</v>
      </c>
      <c r="G94" s="1">
        <v>7835.39</v>
      </c>
      <c r="H94">
        <v>0</v>
      </c>
      <c r="I94">
        <v>0</v>
      </c>
      <c r="J94" t="s">
        <v>71</v>
      </c>
      <c r="K94" t="s">
        <v>101</v>
      </c>
      <c r="L94" t="s">
        <v>73</v>
      </c>
      <c r="M94" t="s">
        <v>54</v>
      </c>
      <c r="N94" t="s">
        <v>55</v>
      </c>
      <c r="O94" t="s">
        <v>56</v>
      </c>
    </row>
    <row r="95" spans="1:15" x14ac:dyDescent="0.25">
      <c r="A95">
        <v>2023</v>
      </c>
      <c r="B95" s="19" t="s">
        <v>24</v>
      </c>
      <c r="C95" s="6">
        <v>2701</v>
      </c>
      <c r="D95" s="19" t="s">
        <v>20</v>
      </c>
      <c r="E95" t="s">
        <v>21</v>
      </c>
      <c r="F95">
        <v>0</v>
      </c>
      <c r="G95">
        <v>0</v>
      </c>
      <c r="H95" s="1">
        <v>1743.2</v>
      </c>
      <c r="I95">
        <v>4.04</v>
      </c>
      <c r="J95" t="s">
        <v>61</v>
      </c>
      <c r="K95" t="s">
        <v>62</v>
      </c>
      <c r="L95" t="s">
        <v>24</v>
      </c>
      <c r="M95" t="s">
        <v>54</v>
      </c>
      <c r="N95" t="s">
        <v>55</v>
      </c>
      <c r="O95" t="s">
        <v>56</v>
      </c>
    </row>
    <row r="96" spans="1:15" x14ac:dyDescent="0.25">
      <c r="A96">
        <v>2023</v>
      </c>
      <c r="B96" s="19" t="s">
        <v>25</v>
      </c>
      <c r="C96" s="6">
        <v>2701</v>
      </c>
      <c r="D96" s="19" t="s">
        <v>20</v>
      </c>
      <c r="E96" t="s">
        <v>21</v>
      </c>
      <c r="F96" s="1">
        <v>66705554290</v>
      </c>
      <c r="G96" s="1">
        <v>8764294.0199999996</v>
      </c>
      <c r="H96" s="1">
        <v>11404150</v>
      </c>
      <c r="I96" s="1">
        <v>2804.31</v>
      </c>
      <c r="J96" t="s">
        <v>63</v>
      </c>
      <c r="K96" t="s">
        <v>64</v>
      </c>
      <c r="L96" t="s">
        <v>65</v>
      </c>
      <c r="M96" t="s">
        <v>54</v>
      </c>
      <c r="N96" t="s">
        <v>55</v>
      </c>
      <c r="O96" t="s">
        <v>56</v>
      </c>
    </row>
    <row r="97" spans="1:15" x14ac:dyDescent="0.25">
      <c r="A97">
        <v>2023</v>
      </c>
      <c r="B97" s="19" t="s">
        <v>110</v>
      </c>
      <c r="C97" s="6">
        <v>2701</v>
      </c>
      <c r="D97" s="19" t="s">
        <v>20</v>
      </c>
      <c r="E97" t="s">
        <v>21</v>
      </c>
      <c r="F97">
        <v>0</v>
      </c>
      <c r="G97">
        <v>0</v>
      </c>
      <c r="H97" s="1">
        <v>1400</v>
      </c>
      <c r="I97">
        <v>3.84</v>
      </c>
      <c r="J97" t="s">
        <v>113</v>
      </c>
      <c r="K97" t="s">
        <v>114</v>
      </c>
      <c r="L97" t="s">
        <v>115</v>
      </c>
      <c r="M97" t="s">
        <v>54</v>
      </c>
      <c r="N97" t="s">
        <v>55</v>
      </c>
      <c r="O97" t="s">
        <v>56</v>
      </c>
    </row>
    <row r="98" spans="1:15" x14ac:dyDescent="0.25">
      <c r="A98">
        <v>2023</v>
      </c>
      <c r="B98" t="s">
        <v>25</v>
      </c>
      <c r="C98" s="6">
        <v>2702</v>
      </c>
      <c r="D98" t="s">
        <v>36</v>
      </c>
      <c r="E98" t="s">
        <v>21</v>
      </c>
      <c r="F98" s="7">
        <v>2906396110</v>
      </c>
      <c r="G98" s="7">
        <v>134127.64000000001</v>
      </c>
      <c r="H98" s="7">
        <v>11354887</v>
      </c>
      <c r="I98" s="7">
        <v>716.14</v>
      </c>
      <c r="J98" t="s">
        <v>63</v>
      </c>
      <c r="K98" t="s">
        <v>64</v>
      </c>
      <c r="L98" t="s">
        <v>65</v>
      </c>
      <c r="M98" t="s">
        <v>54</v>
      </c>
      <c r="N98" t="s">
        <v>55</v>
      </c>
      <c r="O98" t="s">
        <v>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gdp</vt:lpstr>
      <vt:lpstr>black_coal</vt:lpstr>
      <vt:lpstr>brown_coal</vt:lpstr>
      <vt:lpstr>combined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Solongo Otgonbayar</dc:creator>
  <cp:keywords/>
  <dc:description/>
  <cp:lastModifiedBy>Dorjdari Namkhaijantsan</cp:lastModifiedBy>
  <cp:revision/>
  <dcterms:created xsi:type="dcterms:W3CDTF">2022-06-29T05:43:45Z</dcterms:created>
  <dcterms:modified xsi:type="dcterms:W3CDTF">2024-09-27T02:37:45Z</dcterms:modified>
  <cp:category/>
  <cp:contentStatus/>
</cp:coreProperties>
</file>